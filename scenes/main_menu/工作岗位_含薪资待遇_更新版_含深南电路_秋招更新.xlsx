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秋招提前批" sheetId="1" state="visible" r:id="rId1"/>
    <sheet xmlns:r="http://schemas.openxmlformats.org/officeDocument/2006/relationships" name="秋招批次" sheetId="2" state="visible" r:id="rId2"/>
    <sheet xmlns:r="http://schemas.openxmlformats.org/officeDocument/2006/relationships" name="春招批次" sheetId="3" state="visible" r:id="rId3"/>
    <sheet xmlns:r="http://schemas.openxmlformats.org/officeDocument/2006/relationships" name="选项配置" sheetId="4" state="visible" r:id="rId4"/>
    <sheet xmlns:r="http://schemas.openxmlformats.org/officeDocument/2006/relationships" name="企业信息库" sheetId="5" state="visible" r:id="rId5"/>
    <sheet xmlns:r="http://schemas.openxmlformats.org/officeDocument/2006/relationships" name="岗位与投递" sheetId="6" state="visible" r:id="rId6"/>
    <sheet xmlns:r="http://schemas.openxmlformats.org/officeDocument/2006/relationships" name="面试复盘" sheetId="7" state="visible" r:id="rId7"/>
    <sheet xmlns:r="http://schemas.openxmlformats.org/officeDocument/2006/relationships" name="Offer比较" sheetId="8" state="visible" r:id="rId8"/>
    <sheet xmlns:r="http://schemas.openxmlformats.org/officeDocument/2006/relationships" name="求职总览" sheetId="9" state="visible" r:id="rId9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15">
    <font>
      <name val="宋体"/>
      <color theme="1"/>
      <sz val="11"/>
    </font>
    <font>
      <name val="宋体"/>
      <sz val="9"/>
    </font>
    <font>
      <name val="宋体"/>
      <b val="1"/>
      <color theme="1"/>
      <sz val="16"/>
    </font>
    <font>
      <name val="宋体"/>
      <b val="1"/>
      <color theme="1"/>
      <sz val="18"/>
    </font>
    <font>
      <name val="宋体"/>
      <b val="1"/>
      <color theme="4"/>
      <sz val="22"/>
    </font>
    <font>
      <name val="Microsoft YaHei"/>
      <b val="1"/>
      <color rgb="FFFFFFFF"/>
      <sz val="18"/>
    </font>
    <font>
      <name val="Microsoft YaHei"/>
      <color rgb="FF5F6B76"/>
      <sz val="10"/>
    </font>
    <font>
      <name val="Microsoft YaHei"/>
      <b val="1"/>
      <color rgb="FFFFFFFF"/>
      <sz val="10"/>
    </font>
    <font>
      <name val="Microsoft YaHei"/>
      <color rgb="FF263645"/>
      <sz val="10"/>
    </font>
    <font>
      <name val="Microsoft YaHei"/>
      <b val="1"/>
      <color rgb="FF123B5D"/>
      <sz val="22"/>
    </font>
    <font>
      <name val="Microsoft YaHei"/>
      <b val="1"/>
      <color rgb="FF2E7D32"/>
      <sz val="22"/>
    </font>
    <font>
      <name val="Microsoft YaHei"/>
      <b val="1"/>
      <color rgb="FF123B5D"/>
      <sz val="10"/>
    </font>
    <font>
      <name val="Microsoft YaHei"/>
      <b val="1"/>
      <color rgb="FF7A5300"/>
      <sz val="10"/>
    </font>
    <font>
      <name val="Microsoft YaHei"/>
      <color rgb="FFFFFFFF"/>
      <sz val="10"/>
    </font>
    <font>
      <name val="Microsoft YaHei"/>
      <b val="1"/>
      <color rgb="FFFFFFFF"/>
      <sz val="11"/>
    </font>
  </fonts>
  <fills count="10">
    <fill>
      <patternFill/>
    </fill>
    <fill>
      <patternFill patternType="gray125"/>
    </fill>
    <fill>
      <patternFill patternType="solid">
        <fgColor rgb="FF123B5D"/>
      </patternFill>
    </fill>
    <fill>
      <patternFill patternType="solid">
        <fgColor rgb="FFEAF3F8"/>
      </patternFill>
    </fill>
    <fill>
      <patternFill patternType="solid">
        <fgColor rgb="FF1F77B4"/>
      </patternFill>
    </fill>
    <fill>
      <patternFill patternType="solid">
        <fgColor rgb="FFF6F9FB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FF4D6"/>
      </patternFill>
    </fill>
    <fill>
      <patternFill patternType="solid">
        <fgColor rgb="FF1F77B4"/>
      </patternFill>
    </fill>
  </fills>
  <borders count="12">
    <border/>
    <border>
      <left style="thin">
        <color rgb="FFD8E2E9"/>
      </left>
      <right style="thin">
        <color rgb="FFD8E2E9"/>
      </right>
      <top style="thin">
        <color rgb="FFD8E2E9"/>
      </top>
      <bottom style="thin">
        <color rgb="FFD8E2E9"/>
      </bottom>
    </border>
    <border>
      <bottom style="thin">
        <color rgb="FFD8E2E9"/>
      </bottom>
    </border>
    <border>
      <left style="thin">
        <color rgb="FFD8E2E9"/>
      </left>
      <top style="thin">
        <color rgb="FFD8E2E9"/>
      </top>
    </border>
    <border>
      <right style="thin">
        <color rgb="FFD8E2E9"/>
      </right>
      <top style="thin">
        <color rgb="FFD8E2E9"/>
      </top>
    </border>
    <border>
      <left style="thin">
        <color rgb="FFD8E2E9"/>
      </left>
      <bottom style="thin">
        <color rgb="FFD8E2E9"/>
      </bottom>
    </border>
    <border>
      <right style="thin">
        <color rgb="FFD8E2E9"/>
      </right>
      <bottom style="thin">
        <color rgb="FFD8E2E9"/>
      </bottom>
    </border>
    <border>
      <top style="thin">
        <color rgb="FFD8E2E9"/>
      </top>
    </border>
    <border>
      <left style="thin">
        <color rgb="FFD8E2E9"/>
      </left>
    </border>
    <border>
      <right style="thin">
        <color rgb="FFD8E2E9"/>
      </right>
    </border>
    <border>
      <top style="thin">
        <color rgb="FFD8E2E9"/>
      </top>
      <bottom style="thin">
        <color rgb="FFD8E2E9"/>
      </bottom>
    </border>
    <border>
      <right style="thin">
        <color rgb="FFD8E2E9"/>
      </right>
      <top style="thin">
        <color rgb="FFD8E2E9"/>
      </top>
      <bottom style="thin">
        <color rgb="FFD8E2E9"/>
      </bottom>
    </border>
  </borders>
  <cellStyleXfs count="1">
    <xf numFmtId="0" fontId="0" fillId="0" borderId="0" applyAlignment="1">
      <alignment vertical="center"/>
    </xf>
  </cellStyleXfs>
  <cellXfs count="9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7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8" fillId="6" borderId="0" applyAlignment="1" pivotButton="0" quotePrefix="0" xfId="0">
      <alignment vertical="center"/>
    </xf>
    <xf numFmtId="0" fontId="8" fillId="6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7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6" borderId="2" applyAlignment="1" pivotButton="0" quotePrefix="0" xfId="0">
      <alignment vertical="center"/>
    </xf>
    <xf numFmtId="164" fontId="8" fillId="6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8" fillId="6" borderId="2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3" fontId="8" fillId="6" borderId="2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9" fillId="5" borderId="0" applyAlignment="1" pivotButton="0" quotePrefix="0" xfId="0">
      <alignment vertical="center"/>
    </xf>
    <xf numFmtId="0" fontId="9" fillId="5" borderId="3" applyAlignment="1" pivotButton="0" quotePrefix="0" xfId="0">
      <alignment vertical="center"/>
    </xf>
    <xf numFmtId="0" fontId="9" fillId="5" borderId="4" applyAlignment="1" pivotButton="0" quotePrefix="0" xfId="0">
      <alignment vertical="center"/>
    </xf>
    <xf numFmtId="0" fontId="9" fillId="5" borderId="5" applyAlignment="1" pivotButton="0" quotePrefix="0" xfId="0">
      <alignment vertical="center"/>
    </xf>
    <xf numFmtId="0" fontId="9" fillId="5" borderId="6" applyAlignment="1" pivotButton="0" quotePrefix="0" xfId="0">
      <alignment vertical="center"/>
    </xf>
    <xf numFmtId="0" fontId="9" fillId="5" borderId="3" applyAlignment="1" pivotButton="0" quotePrefix="0" xfId="0">
      <alignment horizontal="center" vertical="center"/>
    </xf>
    <xf numFmtId="0" fontId="9" fillId="5" borderId="4" applyAlignment="1" pivotButton="0" quotePrefix="0" xfId="0">
      <alignment horizontal="center" vertical="center"/>
    </xf>
    <xf numFmtId="0" fontId="9" fillId="5" borderId="5" applyAlignment="1" pivotButton="0" quotePrefix="0" xfId="0">
      <alignment horizontal="center" vertical="center"/>
    </xf>
    <xf numFmtId="0" fontId="9" fillId="5" borderId="6" applyAlignment="1" pivotButton="0" quotePrefix="0" xfId="0">
      <alignment horizontal="center" vertical="center"/>
    </xf>
    <xf numFmtId="0" fontId="0" fillId="7" borderId="0" applyAlignment="1" pivotButton="0" quotePrefix="0" xfId="0">
      <alignment vertical="center"/>
    </xf>
    <xf numFmtId="0" fontId="10" fillId="7" borderId="0" applyAlignment="1" pivotButton="0" quotePrefix="0" xfId="0">
      <alignment vertical="center"/>
    </xf>
    <xf numFmtId="0" fontId="10" fillId="7" borderId="3" applyAlignment="1" pivotButton="0" quotePrefix="0" xfId="0">
      <alignment vertical="center"/>
    </xf>
    <xf numFmtId="0" fontId="10" fillId="7" borderId="4" applyAlignment="1" pivotButton="0" quotePrefix="0" xfId="0">
      <alignment vertical="center"/>
    </xf>
    <xf numFmtId="0" fontId="10" fillId="7" borderId="5" applyAlignment="1" pivotButton="0" quotePrefix="0" xfId="0">
      <alignment vertical="center"/>
    </xf>
    <xf numFmtId="0" fontId="10" fillId="7" borderId="6" applyAlignment="1" pivotButton="0" quotePrefix="0" xfId="0">
      <alignment vertical="center"/>
    </xf>
    <xf numFmtId="0" fontId="10" fillId="7" borderId="3" applyAlignment="1" pivotButton="0" quotePrefix="0" xfId="0">
      <alignment horizontal="center" vertical="center"/>
    </xf>
    <xf numFmtId="0" fontId="10" fillId="7" borderId="4" applyAlignment="1" pivotButton="0" quotePrefix="0" xfId="0">
      <alignment horizontal="center" vertical="center"/>
    </xf>
    <xf numFmtId="0" fontId="10" fillId="7" borderId="5" applyAlignment="1" pivotButton="0" quotePrefix="0" xfId="0">
      <alignment horizontal="center" vertical="center"/>
    </xf>
    <xf numFmtId="0" fontId="10" fillId="7" borderId="6" applyAlignment="1" pivotButton="0" quotePrefix="0" xfId="0">
      <alignment horizontal="center" vertical="center"/>
    </xf>
    <xf numFmtId="1" fontId="9" fillId="5" borderId="3" applyAlignment="1" pivotButton="0" quotePrefix="0" xfId="0">
      <alignment horizontal="center" vertical="center"/>
    </xf>
    <xf numFmtId="1" fontId="9" fillId="5" borderId="4" applyAlignment="1" pivotButton="0" quotePrefix="0" xfId="0">
      <alignment horizontal="center" vertical="center"/>
    </xf>
    <xf numFmtId="1" fontId="10" fillId="7" borderId="3" applyAlignment="1" pivotButton="0" quotePrefix="0" xfId="0">
      <alignment horizontal="center" vertical="center"/>
    </xf>
    <xf numFmtId="1" fontId="10" fillId="7" borderId="4" applyAlignment="1" pivotButton="0" quotePrefix="0" xfId="0">
      <alignment horizontal="center" vertical="center"/>
    </xf>
    <xf numFmtId="1" fontId="9" fillId="5" borderId="5" applyAlignment="1" pivotButton="0" quotePrefix="0" xfId="0">
      <alignment horizontal="center" vertical="center"/>
    </xf>
    <xf numFmtId="1" fontId="9" fillId="5" borderId="6" applyAlignment="1" pivotButton="0" quotePrefix="0" xfId="0">
      <alignment horizontal="center" vertical="center"/>
    </xf>
    <xf numFmtId="1" fontId="10" fillId="7" borderId="5" applyAlignment="1" pivotButton="0" quotePrefix="0" xfId="0">
      <alignment horizontal="center" vertical="center"/>
    </xf>
    <xf numFmtId="1" fontId="10" fillId="7" borderId="6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11" fillId="3" borderId="0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12" fillId="8" borderId="0" applyAlignment="1" pivotButton="0" quotePrefix="0" xfId="0">
      <alignment vertical="center"/>
    </xf>
    <xf numFmtId="0" fontId="12" fillId="8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8" fillId="6" borderId="2" applyAlignment="1" pivotButton="0" quotePrefix="0" xfId="0">
      <alignment vertical="center" wrapText="1"/>
    </xf>
    <xf numFmtId="164" fontId="8" fillId="6" borderId="2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8" fillId="6" borderId="2" applyAlignment="1" pivotButton="0" quotePrefix="0" xfId="0">
      <alignment vertical="top" wrapText="1"/>
    </xf>
    <xf numFmtId="164" fontId="8" fillId="6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8" fillId="6" borderId="2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0" fontId="0" fillId="9" borderId="0" applyAlignment="1" pivotButton="0" quotePrefix="0" xfId="0">
      <alignment vertical="center"/>
    </xf>
    <xf numFmtId="0" fontId="14" fillId="9" borderId="0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14" fillId="9" borderId="1" applyAlignment="1" pivotButton="0" quotePrefix="0" xfId="0">
      <alignment vertical="center" wrapText="1"/>
    </xf>
    <xf numFmtId="0" fontId="14" fillId="9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8" fillId="6" borderId="2" applyAlignment="1" pivotButton="0" quotePrefix="0" xfId="0">
      <alignment vertical="top" wrapText="1"/>
    </xf>
    <xf numFmtId="164" fontId="8" fillId="6" borderId="2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center"/>
    </xf>
    <xf numFmtId="165" fontId="8" fillId="6" borderId="2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3" fontId="8" fillId="6" borderId="2" applyAlignment="1" pivotButton="0" quotePrefix="0" xfId="0">
      <alignment vertical="center"/>
    </xf>
    <xf numFmtId="164" fontId="8" fillId="6" borderId="2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" fontId="9" fillId="5" borderId="1" applyAlignment="1" pivotButton="0" quotePrefix="0" xfId="0">
      <alignment horizontal="center" vertical="center"/>
    </xf>
    <xf numFmtId="0" fontId="0" fillId="0" borderId="4" pivotButton="0" quotePrefix="0" xfId="0"/>
    <xf numFmtId="1" fontId="10" fillId="7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常规" xfId="0"/>
  </cellStyles>
  <dxfs count="11">
    <dxf>
      <font>
        <b val="1"/>
        <color rgb="FFC62828"/>
      </font>
      <fill>
        <patternFill>
          <bgColor rgb="FFFDECEC"/>
        </patternFill>
      </fill>
    </dxf>
    <dxf>
      <font>
        <b val="1"/>
        <color rgb="FF9A6700"/>
      </font>
      <fill>
        <patternFill>
          <bgColor rgb="FFFFF4D6"/>
        </patternFill>
      </fill>
    </dxf>
    <dxf>
      <font>
        <b val="1"/>
        <color rgb="FF2E7D32"/>
      </font>
      <fill>
        <patternFill>
          <bgColor rgb="FFE8F5E9"/>
        </patternFill>
      </fill>
    </dxf>
    <dxf>
      <font>
        <b val="1"/>
        <color rgb="FF2E7D32"/>
      </font>
      <fill>
        <patternFill>
          <bgColor rgb="FFDFF3E4"/>
        </patternFill>
      </fill>
    </dxf>
    <dxf>
      <font>
        <b val="1"/>
        <color rgb="FF9A6700"/>
      </font>
      <fill>
        <patternFill>
          <bgColor rgb="FFFFF4D6"/>
        </patternFill>
      </fill>
    </dxf>
    <dxf>
      <font>
        <color rgb="FFC62828"/>
      </font>
      <fill>
        <patternFill>
          <bgColor rgb="FFFDECEC"/>
        </patternFill>
      </fill>
    </dxf>
    <dxf>
      <font>
        <b val="1"/>
        <color rgb="FFC62828"/>
      </font>
      <fill>
        <patternFill>
          <bgColor rgb="FFFFD9D9"/>
        </patternFill>
      </fill>
    </dxf>
    <dxf>
      <font>
        <b val="1"/>
        <color rgb="FF2E7D32"/>
      </font>
      <fill>
        <patternFill>
          <bgColor rgb="FFE8F5E9"/>
        </patternFill>
      </fill>
    </dxf>
    <dxf>
      <font>
        <color rgb="FFC62828"/>
      </font>
      <fill>
        <patternFill>
          <bgColor rgb="FFFDECEC"/>
        </patternFill>
      </fill>
    </dxf>
    <dxf>
      <font>
        <b val="1"/>
        <color rgb="FF2E7D32"/>
      </font>
      <fill>
        <patternFill>
          <bgColor rgb="FFE8F5E9"/>
        </patternFill>
      </fill>
    </dxf>
    <dxf>
      <font>
        <color rgb="FFC62828"/>
      </font>
      <fill>
        <patternFill>
          <bgColor rgb="FFFDECE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CompanyInfoTable" displayName="CompanyInfoTable" ref="A4:U7" headerRowCount="1" totalsRowCount="0" totalsRowShown="0">
  <autoFilter ref="A4:U7"/>
  <tableColumns count="21">
    <tableColumn id="1" name="企业编号"/>
    <tableColumn id="2" name="公司全称"/>
    <tableColumn id="3" name="公司简称"/>
    <tableColumn id="4" name="公司性质"/>
    <tableColumn id="5" name="所属行业"/>
    <tableColumn id="6" name="总部"/>
    <tableColumn id="7" name="招聘城市"/>
    <tableColumn id="8" name="公司规模"/>
    <tableColumn id="9" name="成立年份"/>
    <tableColumn id="10" name="主营业务/核心产品"/>
    <tableColumn id="11" name="公司官网"/>
    <tableColumn id="12" name="招聘官网/公众号"/>
    <tableColumn id="13" name="应届生培养"/>
    <tableColumn id="14" name="工作强度"/>
    <tableColumn id="15" name="发展前景"/>
    <tableColumn id="16" name="经营/裁员风险"/>
    <tableColumn id="17" name="风险等级"/>
    <tableColumn id="18" name="信息来源"/>
    <tableColumn id="19" name="首次收集日期"/>
    <tableColumn id="20" name="最后核验日期"/>
    <tableColumn id="21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JobApplicationTable" displayName="JobApplicationTable" ref="A4:AC11" headerRowCount="1" totalsRowCount="0" totalsRowShown="0">
  <autoFilter ref="A4:AC11"/>
  <tableColumns count="29">
    <tableColumn id="1" name="岗位编号"/>
    <tableColumn id="2" name="企业编号"/>
    <tableColumn id="3" name="公司简称"/>
    <tableColumn id="4" name="岗位名称"/>
    <tableColumn id="5" name="岗位方向"/>
    <tableColumn id="6" name="工作地点"/>
    <tableColumn id="7" name="职责摘要"/>
    <tableColumn id="8" name="必备技能"/>
    <tableColumn id="9" name="加分技能"/>
    <tableColumn id="10" name="学历要求"/>
    <tableColumn id="11" name="专业要求"/>
    <tableColumn id="12" name="接受跨专业"/>
    <tableColumn id="13" name="招聘人数"/>
    <tableColumn id="14" name="岗位链接"/>
    <tableColumn id="15" name="截止日期"/>
    <tableColumn id="16" name="专业匹配(1-5)"/>
    <tableColumn id="17" name="技能匹配(1-5)"/>
    <tableColumn id="18" name="兴趣程度(1-5)"/>
    <tableColumn id="19" name="综合优先级"/>
    <tableColumn id="20" name="投递状态"/>
    <tableColumn id="21" name="投递日期"/>
    <tableColumn id="22" name="投递渠道"/>
    <tableColumn id="23" name="简历版本"/>
    <tableColumn id="24" name="内推人/联系方式"/>
    <tableColumn id="25" name="下一步行动"/>
    <tableColumn id="26" name="下次跟进日期"/>
    <tableColumn id="27" name="备注"/>
    <tableColumn id="28" name="薪资待遇"/>
    <tableColumn id="29" name="福利待遇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terviewReviewTable" displayName="InterviewReviewTable" ref="A4:O5" headerRowCount="1" totalsRowCount="0" totalsRowShown="0">
  <autoFilter ref="A4:O5"/>
  <tableColumns count="15">
    <tableColumn id="1" name="面试编号"/>
    <tableColumn id="2" name="岗位编号"/>
    <tableColumn id="3" name="公司简称"/>
    <tableColumn id="4" name="岗位名称"/>
    <tableColumn id="5" name="面试阶段"/>
    <tableColumn id="6" name="面试时间"/>
    <tableColumn id="7" name="形式"/>
    <tableColumn id="8" name="面试官/部门"/>
    <tableColumn id="9" name="问题记录"/>
    <tableColumn id="10" name="回答表现"/>
    <tableColumn id="11" name="暴露的缺口"/>
    <tableColumn id="12" name="改进动作"/>
    <tableColumn id="13" name="结果"/>
    <tableColumn id="14" name="下一节点时间"/>
    <tableColumn id="15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fferCompareTable" displayName="OfferCompareTable" ref="A4:V5" headerRowCount="1" totalsRowCount="0" totalsRowShown="0">
  <autoFilter ref="A4:V5"/>
  <tableColumns count="22">
    <tableColumn id="1" name="公司简称"/>
    <tableColumn id="2" name="岗位名称"/>
    <tableColumn id="3" name="城市"/>
    <tableColumn id="4" name="月薪下限"/>
    <tableColumn id="5" name="月薪上限"/>
    <tableColumn id="6" name="薪数"/>
    <tableColumn id="7" name="明确奖金"/>
    <tableColumn id="8" name="估算年包"/>
    <tableColumn id="9" name="住房/人才补贴"/>
    <tableColumn id="10" name="试用期"/>
    <tableColumn id="11" name="工作时长"/>
    <tableColumn id="12" name="双休情况"/>
    <tableColumn id="13" name="出差/倒班"/>
    <tableColumn id="14" name="成长空间(1-5)"/>
    <tableColumn id="15" name="方向匹配(1-5)"/>
    <tableColumn id="16" name="稳定性(1-5)"/>
    <tableColumn id="17" name="培养与晋升"/>
    <tableColumn id="18" name="风险点"/>
    <tableColumn id="19" name="综合评分(1-5)"/>
    <tableColumn id="20" name="回复截止日"/>
    <tableColumn id="21" name="最终决定"/>
    <tableColumn id="22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"/>
  <sheetViews>
    <sheetView showGridLines="0" workbookViewId="0">
      <selection activeCell="A1" sqref="A1"/>
    </sheetView>
  </sheetViews>
  <sheetFormatPr baseColWidth="8" defaultColWidth="9" defaultRowHeight="13.5"/>
  <sheetData>
    <row r="2">
      <c r="B2" s="1" t="inlineStr">
        <is>
          <t>2027届毕业秋招提前批（一般在研二下暑假7、8月份就开始有各大公司的提前批招录）</t>
        </is>
      </c>
    </row>
    <row r="3"/>
    <row r="4"/>
  </sheetData>
  <mergeCells count="1">
    <mergeCell ref="B2: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M6"/>
  <sheetViews>
    <sheetView showGridLines="0" workbookViewId="0">
      <selection activeCell="A1" sqref="A1"/>
    </sheetView>
  </sheetViews>
  <sheetFormatPr baseColWidth="8" defaultColWidth="9" defaultRowHeight="13.5"/>
  <cols>
    <col width="8.25" customWidth="1" style="81" min="2" max="2"/>
    <col width="11.5" customWidth="1" style="81" min="3" max="3"/>
    <col width="14.875" customWidth="1" style="81" min="4" max="5"/>
    <col width="25.375" customWidth="1" style="81" min="6" max="6"/>
    <col width="32.25" customWidth="1" style="81" min="7" max="8"/>
    <col width="46.125" customWidth="1" style="81" min="9" max="9"/>
    <col width="21.875" customWidth="1" style="81" min="10" max="10"/>
  </cols>
  <sheetData>
    <row r="3">
      <c r="B3" s="4" t="inlineStr">
        <is>
          <t>2027届毕业秋招正式批（安工大一般在9月10日左右正式有公司开展校招）</t>
        </is>
      </c>
    </row>
    <row r="4"/>
    <row r="5"/>
    <row r="6" ht="22.5" customHeight="1" s="81">
      <c r="B6" s="2" t="inlineStr">
        <is>
          <t>序号</t>
        </is>
      </c>
      <c r="C6" s="3" t="inlineStr">
        <is>
          <t>公司名</t>
        </is>
      </c>
      <c r="D6" s="3" t="inlineStr">
        <is>
          <t>公司性质</t>
        </is>
      </c>
      <c r="E6" s="3" t="inlineStr">
        <is>
          <t>所属行业</t>
        </is>
      </c>
      <c r="F6" s="2" t="inlineStr">
        <is>
          <t>总部及工作地点</t>
        </is>
      </c>
      <c r="G6" s="2" t="inlineStr">
        <is>
          <t>公司规模及成立时间</t>
        </is>
      </c>
      <c r="H6" s="2" t="inlineStr">
        <is>
          <t>核心产品及主要业务</t>
        </is>
      </c>
      <c r="I6" s="2" t="inlineStr">
        <is>
          <t>官网、招聘官网、招聘公众号</t>
        </is>
      </c>
      <c r="J6" s="2" t="inlineStr">
        <is>
          <t>主要招聘岗位</t>
        </is>
      </c>
    </row>
  </sheetData>
  <mergeCells count="1">
    <mergeCell ref="B3:M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20" customWidth="1" style="81" min="1" max="1"/>
    <col width="20" customWidth="1" style="81" min="2" max="2"/>
    <col width="20" customWidth="1" style="81" min="3" max="3"/>
    <col width="20" customWidth="1" style="81" min="4" max="4"/>
    <col width="20" customWidth="1" style="81" min="5" max="5"/>
    <col width="20" customWidth="1" style="81" min="6" max="6"/>
    <col width="20" customWidth="1" style="81" min="7" max="7"/>
    <col width="20" customWidth="1" style="81" min="8" max="8"/>
    <col width="20" customWidth="1" style="81" min="9" max="9"/>
    <col width="20" customWidth="1" style="81" min="10" max="10"/>
  </cols>
  <sheetData>
    <row r="1" ht="34" customHeight="1" s="81">
      <c r="A1" s="7" t="inlineStr">
        <is>
          <t>选项配置</t>
        </is>
      </c>
    </row>
    <row r="2" ht="26" customHeight="1" s="81">
      <c r="A2" s="9" t="inlineStr">
        <is>
          <t>维护这里的分类值，可用于统一填写口径。</t>
        </is>
      </c>
    </row>
    <row r="4">
      <c r="A4" s="15" t="inlineStr">
        <is>
          <t>公司性质</t>
        </is>
      </c>
      <c r="B4" s="15" t="inlineStr">
        <is>
          <t>所属行业</t>
        </is>
      </c>
      <c r="C4" s="15" t="inlineStr">
        <is>
          <t>岗位方向</t>
        </is>
      </c>
      <c r="D4" s="15" t="inlineStr">
        <is>
          <t>优先级</t>
        </is>
      </c>
      <c r="E4" s="15" t="inlineStr">
        <is>
          <t>投递状态</t>
        </is>
      </c>
      <c r="F4" s="15" t="inlineStr">
        <is>
          <t>投递渠道</t>
        </is>
      </c>
      <c r="G4" s="15" t="inlineStr">
        <is>
          <t>是/否</t>
        </is>
      </c>
      <c r="H4" s="15" t="inlineStr">
        <is>
          <t>风险等级</t>
        </is>
      </c>
      <c r="I4" s="15" t="inlineStr">
        <is>
          <t>面试结果</t>
        </is>
      </c>
      <c r="J4" s="15" t="inlineStr">
        <is>
          <t>Offer决定</t>
        </is>
      </c>
    </row>
    <row r="5">
      <c r="A5" s="16" t="inlineStr">
        <is>
          <t>央企</t>
        </is>
      </c>
      <c r="B5" s="19" t="inlineStr">
        <is>
          <t>AI/大模型</t>
        </is>
      </c>
      <c r="C5" s="16" t="inlineStr">
        <is>
          <t>AI Agent/大模型应用</t>
        </is>
      </c>
      <c r="D5" s="19" t="inlineStr">
        <is>
          <t>S</t>
        </is>
      </c>
      <c r="E5" s="16" t="inlineStr">
        <is>
          <t>待收集</t>
        </is>
      </c>
      <c r="F5" s="19" t="inlineStr">
        <is>
          <t>公司官网</t>
        </is>
      </c>
      <c r="G5" s="16" t="inlineStr">
        <is>
          <t>是</t>
        </is>
      </c>
      <c r="H5" s="19" t="inlineStr">
        <is>
          <t>低</t>
        </is>
      </c>
      <c r="I5" s="16" t="inlineStr">
        <is>
          <t>待进行</t>
        </is>
      </c>
      <c r="J5" s="19" t="inlineStr">
        <is>
          <t>待比较</t>
        </is>
      </c>
    </row>
    <row r="6">
      <c r="A6" s="16" t="inlineStr">
        <is>
          <t>地方国企</t>
        </is>
      </c>
      <c r="B6" s="19" t="inlineStr">
        <is>
          <t>互联网/软件</t>
        </is>
      </c>
      <c r="C6" s="16" t="inlineStr">
        <is>
          <t>算法工程师</t>
        </is>
      </c>
      <c r="D6" s="19" t="inlineStr">
        <is>
          <t>A</t>
        </is>
      </c>
      <c r="E6" s="16" t="inlineStr">
        <is>
          <t>待投递</t>
        </is>
      </c>
      <c r="F6" s="19" t="inlineStr">
        <is>
          <t>学校就业网</t>
        </is>
      </c>
      <c r="G6" s="16" t="inlineStr">
        <is>
          <t>否</t>
        </is>
      </c>
      <c r="H6" s="19" t="inlineStr">
        <is>
          <t>中</t>
        </is>
      </c>
      <c r="I6" s="16" t="inlineStr">
        <is>
          <t>待通知</t>
        </is>
      </c>
      <c r="J6" s="19" t="inlineStr">
        <is>
          <t>接受</t>
        </is>
      </c>
    </row>
    <row r="7">
      <c r="A7" s="16" t="inlineStr">
        <is>
          <t>事业单位</t>
        </is>
      </c>
      <c r="B7" s="19" t="inlineStr">
        <is>
          <t>游戏</t>
        </is>
      </c>
      <c r="C7" s="16" t="inlineStr">
        <is>
          <t>数据分析/数据开发</t>
        </is>
      </c>
      <c r="D7" s="19" t="inlineStr">
        <is>
          <t>B</t>
        </is>
      </c>
      <c r="E7" s="16" t="inlineStr">
        <is>
          <t>已投递</t>
        </is>
      </c>
      <c r="F7" s="19" t="inlineStr">
        <is>
          <t>公众号</t>
        </is>
      </c>
      <c r="G7" s="16" t="inlineStr">
        <is>
          <t>待确认</t>
        </is>
      </c>
      <c r="H7" s="19" t="inlineStr">
        <is>
          <t>高</t>
        </is>
      </c>
      <c r="I7" s="16" t="inlineStr">
        <is>
          <t>通过</t>
        </is>
      </c>
      <c r="J7" s="19" t="inlineStr">
        <is>
          <t>拒绝</t>
        </is>
      </c>
    </row>
    <row r="8">
      <c r="A8" s="16" t="inlineStr">
        <is>
          <t>民企</t>
        </is>
      </c>
      <c r="B8" s="19" t="inlineStr">
        <is>
          <t>智能制造</t>
        </is>
      </c>
      <c r="C8" s="16" t="inlineStr">
        <is>
          <t>工业AI/智能制造</t>
        </is>
      </c>
      <c r="D8" s="19" t="inlineStr">
        <is>
          <t>C</t>
        </is>
      </c>
      <c r="E8" s="16" t="inlineStr">
        <is>
          <t>测评</t>
        </is>
      </c>
      <c r="F8" s="19" t="inlineStr">
        <is>
          <t>BOSS直聘</t>
        </is>
      </c>
      <c r="H8" s="19" t="inlineStr">
        <is>
          <t>待核验</t>
        </is>
      </c>
      <c r="I8" s="16" t="inlineStr">
        <is>
          <t>未通过</t>
        </is>
      </c>
      <c r="J8" s="19" t="inlineStr">
        <is>
          <t>保留</t>
        </is>
      </c>
    </row>
    <row r="9">
      <c r="A9" s="16" t="inlineStr">
        <is>
          <t>外企</t>
        </is>
      </c>
      <c r="B9" s="19" t="inlineStr">
        <is>
          <t>新能源</t>
        </is>
      </c>
      <c r="C9" s="16" t="inlineStr">
        <is>
          <t>游戏策划/游戏开发</t>
        </is>
      </c>
      <c r="E9" s="16" t="inlineStr">
        <is>
          <t>笔试</t>
        </is>
      </c>
      <c r="F9" s="19" t="inlineStr">
        <is>
          <t>猎聘</t>
        </is>
      </c>
      <c r="I9" s="16" t="inlineStr">
        <is>
          <t>取消</t>
        </is>
      </c>
    </row>
    <row r="10">
      <c r="A10" s="16" t="inlineStr">
        <is>
          <t>初创公司</t>
        </is>
      </c>
      <c r="B10" s="19" t="inlineStr">
        <is>
          <t>半导体</t>
        </is>
      </c>
      <c r="C10" s="16" t="inlineStr">
        <is>
          <t>新能源/半导体</t>
        </is>
      </c>
      <c r="E10" s="16" t="inlineStr">
        <is>
          <t>一面</t>
        </is>
      </c>
      <c r="F10" s="19" t="inlineStr">
        <is>
          <t>智联招聘</t>
        </is>
      </c>
    </row>
    <row r="11">
      <c r="A11" s="16" t="inlineStr">
        <is>
          <t>科研院所</t>
        </is>
      </c>
      <c r="B11" s="19" t="inlineStr">
        <is>
          <t>钢铁冶金</t>
        </is>
      </c>
      <c r="C11" s="16" t="inlineStr">
        <is>
          <t>冶金/材料/资源环境</t>
        </is>
      </c>
      <c r="E11" s="16" t="inlineStr">
        <is>
          <t>二面</t>
        </is>
      </c>
      <c r="F11" s="19" t="inlineStr">
        <is>
          <t>前程无忧</t>
        </is>
      </c>
    </row>
    <row r="12">
      <c r="A12" s="16" t="inlineStr">
        <is>
          <t>其他</t>
        </is>
      </c>
      <c r="B12" s="19" t="inlineStr">
        <is>
          <t>资源与环境</t>
        </is>
      </c>
      <c r="C12" s="16" t="inlineStr">
        <is>
          <t>其他保底岗位</t>
        </is>
      </c>
      <c r="E12" s="16" t="inlineStr">
        <is>
          <t>终面</t>
        </is>
      </c>
      <c r="F12" s="19" t="inlineStr">
        <is>
          <t>内推</t>
        </is>
      </c>
    </row>
    <row r="13">
      <c r="B13" s="19" t="inlineStr">
        <is>
          <t>科研教育</t>
        </is>
      </c>
      <c r="C13" s="0" t="inlineStr">
        <is>
          <t>通信网络/算网</t>
        </is>
      </c>
      <c r="E13" s="16" t="inlineStr">
        <is>
          <t>Offer</t>
        </is>
      </c>
      <c r="F13" s="19" t="inlineStr">
        <is>
          <t>线下双选会</t>
        </is>
      </c>
    </row>
    <row r="14">
      <c r="B14" s="19" t="inlineStr">
        <is>
          <t>其他</t>
        </is>
      </c>
      <c r="E14" s="16" t="inlineStr">
        <is>
          <t>已拒绝</t>
        </is>
      </c>
      <c r="F14" s="19" t="inlineStr">
        <is>
          <t>其他</t>
        </is>
      </c>
    </row>
    <row r="15">
      <c r="B15" s="0" t="inlineStr">
        <is>
          <t>通信/运营商</t>
        </is>
      </c>
      <c r="E15" s="16" t="inlineStr">
        <is>
          <t>未通过</t>
        </is>
      </c>
    </row>
    <row r="16">
      <c r="E16" s="16" t="inlineStr">
        <is>
          <t>已结束</t>
        </is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04"/>
  <sheetViews>
    <sheetView showGridLines="0" workbookViewId="0">
      <selection activeCell="A1" sqref="A1"/>
    </sheetView>
  </sheetViews>
  <sheetFormatPr baseColWidth="8" defaultRowHeight="15"/>
  <cols>
    <col width="12" customWidth="1" style="81" min="1" max="1"/>
    <col width="24" customWidth="1" style="81" min="2" max="2"/>
    <col width="15" customWidth="1" style="81" min="3" max="3"/>
    <col width="13" customWidth="1" style="81" min="4" max="4"/>
    <col width="18" customWidth="1" style="81" min="5" max="5"/>
    <col width="14" customWidth="1" style="81" min="6" max="6"/>
    <col width="18" customWidth="1" style="81" min="7" max="7"/>
    <col width="12" customWidth="1" style="81" min="8" max="8"/>
    <col width="12" customWidth="1" style="81" min="9" max="9"/>
    <col width="30" customWidth="1" style="81" min="10" max="10"/>
    <col width="24" customWidth="1" style="81" min="11" max="11"/>
    <col width="26" customWidth="1" style="81" min="12" max="12"/>
    <col width="24" customWidth="1" style="81" min="13" max="13"/>
    <col width="15" customWidth="1" style="81" min="14" max="14"/>
    <col width="24" customWidth="1" style="81" min="15" max="15"/>
    <col width="26" customWidth="1" style="81" min="16" max="16"/>
    <col width="12" customWidth="1" style="81" min="17" max="17"/>
    <col width="30" customWidth="1" style="81" min="18" max="18"/>
    <col width="15" customWidth="1" style="81" min="19" max="19"/>
    <col width="15" customWidth="1" style="81" min="20" max="20"/>
    <col width="28" customWidth="1" style="81" min="21" max="21"/>
  </cols>
  <sheetData>
    <row r="1" ht="34" customHeight="1" s="81">
      <c r="A1" s="7" t="inlineStr">
        <is>
          <t>企业信息库</t>
        </is>
      </c>
    </row>
    <row r="2" ht="26" customHeight="1" s="81">
      <c r="A2" s="9" t="inlineStr">
        <is>
          <t>一家公司一行；优先记录官网、招聘入口、工作地点、培养体系和风险来源。</t>
        </is>
      </c>
    </row>
    <row r="4" ht="32" customHeight="1" s="81">
      <c r="A4" s="22" t="inlineStr">
        <is>
          <t>企业编号</t>
        </is>
      </c>
      <c r="B4" s="22" t="inlineStr">
        <is>
          <t>公司全称</t>
        </is>
      </c>
      <c r="C4" s="22" t="inlineStr">
        <is>
          <t>公司简称</t>
        </is>
      </c>
      <c r="D4" s="22" t="inlineStr">
        <is>
          <t>公司性质</t>
        </is>
      </c>
      <c r="E4" s="22" t="inlineStr">
        <is>
          <t>所属行业</t>
        </is>
      </c>
      <c r="F4" s="22" t="inlineStr">
        <is>
          <t>总部</t>
        </is>
      </c>
      <c r="G4" s="22" t="inlineStr">
        <is>
          <t>招聘城市</t>
        </is>
      </c>
      <c r="H4" s="22" t="inlineStr">
        <is>
          <t>公司规模</t>
        </is>
      </c>
      <c r="I4" s="22" t="inlineStr">
        <is>
          <t>成立年份</t>
        </is>
      </c>
      <c r="J4" s="22" t="inlineStr">
        <is>
          <t>主营业务/核心产品</t>
        </is>
      </c>
      <c r="K4" s="22" t="inlineStr">
        <is>
          <t>公司官网</t>
        </is>
      </c>
      <c r="L4" s="22" t="inlineStr">
        <is>
          <t>招聘官网/公众号</t>
        </is>
      </c>
      <c r="M4" s="22" t="inlineStr">
        <is>
          <t>应届生培养</t>
        </is>
      </c>
      <c r="N4" s="22" t="inlineStr">
        <is>
          <t>工作强度</t>
        </is>
      </c>
      <c r="O4" s="22" t="inlineStr">
        <is>
          <t>发展前景</t>
        </is>
      </c>
      <c r="P4" s="22" t="inlineStr">
        <is>
          <t>经营/裁员风险</t>
        </is>
      </c>
      <c r="Q4" s="22" t="inlineStr">
        <is>
          <t>风险等级</t>
        </is>
      </c>
      <c r="R4" s="22" t="inlineStr">
        <is>
          <t>信息来源</t>
        </is>
      </c>
      <c r="S4" s="22" t="inlineStr">
        <is>
          <t>首次收集日期</t>
        </is>
      </c>
      <c r="T4" s="22" t="inlineStr">
        <is>
          <t>最后核验日期</t>
        </is>
      </c>
      <c r="U4" s="22" t="inlineStr">
        <is>
          <t>备注</t>
        </is>
      </c>
    </row>
    <row r="5" ht="90" customHeight="1" s="81">
      <c r="A5" s="70" t="inlineStr">
        <is>
          <t>COM-001</t>
        </is>
      </c>
      <c r="B5" s="70" t="inlineStr">
        <is>
          <t>日照钢铁控股集团有限公司</t>
        </is>
      </c>
      <c r="C5" s="70" t="inlineStr">
        <is>
          <t>日钢集团</t>
        </is>
      </c>
      <c r="D5" s="70" t="inlineStr">
        <is>
          <t>民企</t>
        </is>
      </c>
      <c r="E5" s="70" t="inlineStr">
        <is>
          <t>钢铁冶金</t>
        </is>
      </c>
      <c r="F5" s="70" t="inlineStr">
        <is>
          <t>山东省日照市岚山区滨海路600号</t>
        </is>
      </c>
      <c r="G5" s="70" t="inlineStr">
        <is>
          <t>山东日照（岚山区）</t>
        </is>
      </c>
      <c r="H5" s="70" t="inlineStr">
        <is>
          <t>大型钢铁集团；历史公开资料员工约1.7万人，最新人数待核验</t>
        </is>
      </c>
      <c r="I5" s="82" t="n">
        <v>2003</v>
      </c>
      <c r="J5" s="70" t="inlineStr">
        <is>
          <t>烧结、炼铁、炼钢、轧材一体化；热轧卷板、ESP超薄带钢、酸洗/镀锌薄板、型钢等；合规炼钢产能2148万吨，拥有5条ESP生产线</t>
        </is>
      </c>
      <c r="K5" s="70" t="inlineStr">
        <is>
          <t>https://www.rizhaosteel.com/</t>
        </is>
      </c>
      <c r="L5" s="70" t="inlineStr">
        <is>
          <t>https://www.rizhaosteel.com/scbm1/index.htm｜邮箱68558@rizhaosteel.com｜电话0633-6188005</t>
        </is>
      </c>
      <c r="M5" s="70" t="inlineStr">
        <is>
          <t>官网披露有应届毕业生见习培养案例；具体培养周期、导师制度和晋升机制待招聘沟通确认</t>
        </is>
      </c>
      <c r="N5" s="70" t="inlineStr">
        <is>
          <t>钢铁生产现场岗位可能涉及倒班、高温、噪声和安全管理；研发/职能岗位强度需按具体岗位确认</t>
        </is>
      </c>
      <c r="O5" s="70" t="inlineStr">
        <is>
          <t>钢铁产业链链主企业，连续多年获行业A+评级；推进人工智能+钢铁制造、智能工厂、低碳ESP板材和固废资源化，与你的冶金+数据/AI方向具有结合点</t>
        </is>
      </c>
      <c r="P5" s="70" t="inlineStr">
        <is>
          <t>钢铁行业具有周期性；工作地点相对集中于岚山工业区；生产岗位环境、倒班制度及具体薪资尚未确认</t>
        </is>
      </c>
      <c r="Q5" s="70" t="inlineStr">
        <is>
          <t>中</t>
        </is>
      </c>
      <c r="R5" s="70" t="inlineStr">
        <is>
          <t>https://www.rizhaosteel.com/introduce/index.htm｜https://www.rizhaosteel.com/scbm1/index.htm｜https://www.rizhaosteel.com/greendevelop/index.htm｜2027校招启动截图</t>
        </is>
      </c>
      <c r="S5" s="83" t="n">
        <v>46267</v>
      </c>
      <c r="T5" s="83" t="n">
        <v>46267</v>
      </c>
      <c r="U5" s="70" t="inlineStr">
        <is>
          <t>2027届校园招聘已启动。官网当前文本页未公开完整岗位清单，需通过招聘入口/公众号进一步筛选冶金、材料、环保、能源、数字化及AI相关岗位。</t>
        </is>
      </c>
    </row>
    <row r="6" ht="90" customHeight="1" s="81">
      <c r="A6" s="72" t="inlineStr">
        <is>
          <t>COM-002</t>
        </is>
      </c>
      <c r="B6" s="72" t="inlineStr">
        <is>
          <t>安徽普朗膜技术有限公司</t>
        </is>
      </c>
      <c r="C6" s="72" t="inlineStr">
        <is>
          <t>安徽普朗膜</t>
        </is>
      </c>
      <c r="D6" s="72" t="inlineStr">
        <is>
          <t>其他</t>
        </is>
      </c>
      <c r="E6" s="72" t="inlineStr">
        <is>
          <t>资源与环境</t>
        </is>
      </c>
      <c r="F6" s="72" t="inlineStr">
        <is>
          <t>安徽省合肥市新站高新区普朗科技园</t>
        </is>
      </c>
      <c r="G6" s="72" t="inlineStr">
        <is>
          <t>安徽合肥</t>
        </is>
      </c>
      <c r="H6" s="72" t="inlineStr">
        <is>
          <t>约75人以上；招聘平台显示20—99人</t>
        </is>
      </c>
      <c r="I6" s="84" t="n">
        <v>2004</v>
      </c>
      <c r="J6" s="72" t="inlineStr">
        <is>
          <t>膜工艺技术开发应用、膜材料及膜元件制造、膜成套设备、工业废水与物料分离工程；产品含PVDF/PES/PEK管式膜，服务煤化工、钢铁、制药等废水处理和资源化利用</t>
        </is>
      </c>
      <c r="K6" s="72" t="inlineStr">
        <is>
          <t>https://www.plummembranes.com/</t>
        </is>
      </c>
      <c r="L6" s="72" t="inlineStr">
        <is>
          <t>https://www.membranes.com.cn/xingyedongtai/xiehuidongtai/2026-04-07/49611.html｜0551-62586158｜15905513515｜3453408259@qq.com</t>
        </is>
      </c>
      <c r="M6" s="72" t="inlineStr">
        <is>
          <t>招聘信息明确接受优秀应届毕业生；未查到完整校招培养体系，入职培训、导师及晋升通道需面试核验</t>
        </is>
      </c>
      <c r="N6" s="72" t="inlineStr">
        <is>
          <t>招聘信息写明周末双休；研发岗具体加班待核验，化工工程师岗位需适应出差</t>
        </is>
      </c>
      <c r="O6" s="72" t="inlineStr">
        <is>
          <t>国家高新技术企业、中国膜工业协会理事单位；拥有管式膜研发中心及多条自动化生产线，协会资料称拥有50余项专利，其中发明专利19项；工业废水资源化与绿色低碳方向契合专业背景</t>
        </is>
      </c>
      <c r="P6" s="72" t="inlineStr">
        <is>
          <t>企业规模较小；岗位职责覆盖研发、项目申报和知识产权等多项工作；薪资兑现、研发资源、出差频率和晋升空间需面试核验</t>
        </is>
      </c>
      <c r="Q6" s="72" t="inlineStr">
        <is>
          <t>中</t>
        </is>
      </c>
      <c r="R6" s="72" t="inlineStr">
        <is>
          <t>https://www.membranes.com.cn/xiehuihuiyuan/huiyuandanwei/2015-01-21/20027.html｜https://www.membranes.com.cn/xingyedongtai/xiehuidongtai/2026-04-07/49611.html｜https://www.zhaopin.com/jobdetail/CC216679420J40314505607.htm｜招聘截图</t>
        </is>
      </c>
      <c r="S6" s="85" t="n">
        <v>46267</v>
      </c>
      <c r="T6" s="85" t="n">
        <v>46267</v>
      </c>
      <c r="U6" s="72" t="inlineStr">
        <is>
          <t>企业性质在公开招聘平台标注为“有限责任公司（外商投资企业法人独资）”，表内暂归“其他”，建议面试时确认组织和用工主体。</t>
        </is>
      </c>
    </row>
    <row r="7" ht="96" customHeight="1" s="81">
      <c r="A7" s="72" t="inlineStr">
        <is>
          <t>COM-003</t>
        </is>
      </c>
      <c r="B7" s="72" t="inlineStr">
        <is>
          <t>中国联合网络通信有限公司安庆市分公司</t>
        </is>
      </c>
      <c r="C7" s="72" t="inlineStr">
        <is>
          <t>中国联通安庆分公司</t>
        </is>
      </c>
      <c r="D7" s="72" t="inlineStr">
        <is>
          <t>央企</t>
        </is>
      </c>
      <c r="E7" s="72" t="inlineStr">
        <is>
          <t>通信/运营商</t>
        </is>
      </c>
      <c r="F7" s="72" t="inlineStr">
        <is>
          <t>安徽省安庆市</t>
        </is>
      </c>
      <c r="G7" s="72" t="inlineStr">
        <is>
          <t>安徽安庆（市区及辖县）</t>
        </is>
      </c>
      <c r="H7" s="72" t="inlineStr">
        <is>
          <t>中国联通大型央企地市分支机构；安庆分公司人数未披露</t>
        </is>
      </c>
      <c r="I7" s="84" t="n"/>
      <c r="J7" s="72" t="inlineStr">
        <is>
          <t>联网通信、移动/固定通信、算网数智、云计算、大数据、物联网及ICT综合解决方案</t>
        </is>
      </c>
      <c r="K7" s="72" t="inlineStr">
        <is>
          <t>https://www.chinaunicom.com.cn/</t>
        </is>
      </c>
      <c r="L7" s="72" t="inlineStr">
        <is>
          <t>https://webapp.zhaopin.com/2026/hd/zglhw0814ZL82493/scjobs/index.html</t>
        </is>
      </c>
      <c r="M7" s="72" t="inlineStr">
        <is>
          <t>“新苗计划”面向2027届及离校未就业2026届毕业生；具备岗位、战略人才和创新人才等成长体系，配套导师、培训及多通道晋升</t>
        </is>
      </c>
      <c r="N7" s="72" t="inlineStr">
        <is>
          <t>网络岗可能涉及应急响应或值守；市场岗存在经营指标压力；解决方案岗涉及项目协调，具体出差、轮岗和加班情况待面试核验</t>
        </is>
      </c>
      <c r="O7" s="72" t="inlineStr">
        <is>
          <t>中国联通为中央企业，正围绕连接、算力、服务、安全推进数智化转型；云计算、大数据、物联网及AI应用与通信工程本科、数据分析和AI能力契合</t>
        </is>
      </c>
      <c r="P7" s="72" t="inlineStr">
        <is>
          <t>岗位可能覆盖区县或安排基层轮岗；网络岗有应急工作，市场岗有业绩目标；薪资、具体工作地点及截止日期未在材料中披露</t>
        </is>
      </c>
      <c r="Q7" s="72" t="inlineStr">
        <is>
          <t>低</t>
        </is>
      </c>
      <c r="R7" s="72" t="inlineStr">
        <is>
          <t>中国联通安庆分公司2027校园招聘PDF｜https://www.chinaunicom.com.cn/｜https://zglt.zhaopin.com/home/index.html｜https://webapp.zhaopin.com/2026/hd/zglhw0814ZL82493/scjobs/index.html</t>
        </is>
      </c>
      <c r="S7" s="85" t="n">
        <v>46267</v>
      </c>
      <c r="T7" s="85" t="n">
        <v>46267</v>
      </c>
      <c r="U7" s="72" t="inlineStr">
        <is>
          <t>招聘对象为2027届海内外毕业生及离校未就业2026届毕业生，本科/硕士/博士均可。流程：网申、简历筛选、笔试、面试、签约、体检、入职。福利含六险二金、食宿/交通/通信等补贴及健康保障；薪资与网申截止时间待核验。</t>
        </is>
      </c>
    </row>
    <row r="8">
      <c r="A8" s="72" t="inlineStr">
        <is>
          <t>COM-004</t>
        </is>
      </c>
      <c r="B8" s="72" t="inlineStr">
        <is>
          <t>浙江艾罗网络能源技术股份有限公司</t>
        </is>
      </c>
      <c r="C8" s="72" t="inlineStr">
        <is>
          <t>艾罗能源</t>
        </is>
      </c>
      <c r="D8" s="72" t="inlineStr">
        <is>
          <t>民企</t>
        </is>
      </c>
      <c r="E8" s="72" t="inlineStr">
        <is>
          <t>新能源</t>
        </is>
      </c>
      <c r="F8" s="72" t="inlineStr">
        <is>
          <t>浙江省杭州市西湖区</t>
        </is>
      </c>
      <c r="G8" s="72" t="inlineStr">
        <is>
          <t>杭州、上海、合肥、南京、西安等</t>
        </is>
      </c>
      <c r="H8" s="72" t="inlineStr">
        <is>
          <t>上市公司（688717）；研发矩阵4城联动，员工规模待核验</t>
        </is>
      </c>
      <c r="I8" s="84" t="inlineStr">
        <is>
          <t>2012</t>
        </is>
      </c>
      <c r="J8" s="72" t="inlineStr">
        <is>
          <t>光伏储能产品与智慧能源解决方案的研发、制造与服务；销售网络覆盖全球130多个国家，累计获得3600多项国内外权威认证</t>
        </is>
      </c>
      <c r="K8" s="72" t="inlineStr">
        <is>
          <t>https://www.solaxpower.com/</t>
        </is>
      </c>
      <c r="L8" s="72" t="inlineStr">
        <is>
          <t>https://campus.solaxpower.com/｜艾罗能源招聘公众号</t>
        </is>
      </c>
      <c r="M8" s="72" t="inlineStr">
        <is>
          <t>应届生专属培训计划（行业认知、技术基础、岗位实操）；一对一导师制；技术线/管理线双通道晋升</t>
        </is>
      </c>
      <c r="N8" s="72" t="inlineStr">
        <is>
          <t>双休、法定节假日、弹性工作时间；研发岗按项目节奏，具体加班待核验</t>
        </is>
      </c>
      <c r="O8" s="72" t="inlineStr">
        <is>
          <t>A股上市光储企业，全球光伏储能赛道高增长；AI算法、Python数据开发等岗位与你的数据分析+AI方向契合；合肥有研发基地，离家近</t>
        </is>
      </c>
      <c r="P8" s="72" t="inlineStr">
        <is>
          <t>新能源行业具有周期性和产能过剩风险；海外业务占比高受地缘政治影响；部分岗位需英语能力</t>
        </is>
      </c>
      <c r="Q8" s="72" t="inlineStr">
        <is>
          <t>中</t>
        </is>
      </c>
      <c r="R8" s="72" t="inlineStr">
        <is>
          <t>https://www.wondercv.com/xiaozhao/solax-2027-campus-recruitment-13366-6be0a9/｜https://m.yingjiesheng.com/xuanjianghui/xjh_5137174｜前程无忧校招页</t>
        </is>
      </c>
      <c r="S8" s="85" t="n">
        <v>46269</v>
      </c>
      <c r="T8" s="85" t="n">
        <v>46269</v>
      </c>
      <c r="U8" s="72" t="inlineStr">
        <is>
          <t>2027届秋招已启动，网申截止2026-10-26。综合薪资：本科10-25万/年，硕士15-35万/年，博士36万起。杭州市生活补贴硕士3万、租房补贴每年1万可领3年。重点关注AI算法工程师、Python/数据开发工程师岗位。</t>
        </is>
      </c>
    </row>
    <row r="9">
      <c r="A9" s="72" t="inlineStr">
        <is>
          <t>COM-005</t>
        </is>
      </c>
      <c r="B9" s="72" t="inlineStr">
        <is>
          <t>华天科技（昆山）电子有限公司</t>
        </is>
      </c>
      <c r="C9" s="72" t="inlineStr">
        <is>
          <t>华天科技</t>
        </is>
      </c>
      <c r="D9" s="72" t="inlineStr">
        <is>
          <t>地方国企</t>
        </is>
      </c>
      <c r="E9" s="72" t="inlineStr">
        <is>
          <t>半导体</t>
        </is>
      </c>
      <c r="F9" s="72" t="inlineStr">
        <is>
          <t>甘肃省天水市（昆山公司位于江苏昆山/南京浦口）</t>
        </is>
      </c>
      <c r="G9" s="72" t="inlineStr">
        <is>
          <t>南京（浦口）、昆山、天水、宝鸡、西安</t>
        </is>
      </c>
      <c r="H9" s="72" t="inlineStr">
        <is>
          <t>上市公司（002185）；国内封测第3位、全球第7位；昆山公司1000人以上</t>
        </is>
      </c>
      <c r="I9" s="84" t="inlineStr">
        <is>
          <t>2003</t>
        </is>
      </c>
      <c r="J9" s="72" t="inlineStr">
        <is>
          <t>半导体封装测试；拥有TSV、BUMPING、WL-CSP、Fan-Out、FC、TEST六大技术平台；产品应用于计算机、网络通讯、消费电子、汽车电子等</t>
        </is>
      </c>
      <c r="K9" s="72" t="inlineStr">
        <is>
          <t>http://www.ht-tech.com/</t>
        </is>
      </c>
      <c r="L9" s="72" t="inlineStr">
        <is>
          <t>华天科技招聘公众号｜邮箱xiaoyou.xu_ks@ht-tech.com｜电话0512-50353855</t>
        </is>
      </c>
      <c r="M9" s="72" t="inlineStr">
        <is>
          <t>系统完善的培训体系（企业内训、外聘教师、技术交流、外派国外培训）；管理人才培养计划；完善的等级晋升渠道；依培训考核和专业匹配度分配岗位</t>
        </is>
      </c>
      <c r="N9" s="72" t="inlineStr">
        <is>
          <t>8:30-17:30（周一至周五）；设备/工艺岗试用期可能1-3个月倒班；半导体制造产线需穿无尘服</t>
        </is>
      </c>
      <c r="O9" s="72" t="inlineStr">
        <is>
          <t>半导体封测行业国产替代加速，国家战略支持；材料/物理/化学背景与工艺、研发岗对口；昆山/南京基地靠近长三角，智能制造与自动化方向有结合点</t>
        </is>
      </c>
      <c r="P9" s="72" t="inlineStr">
        <is>
          <t>半导体行业周期性明显；工艺/设备岗可能涉及倒班和无尘车间；天水基地薪资低于昆山/南京；薪资增长依赖积分制</t>
        </is>
      </c>
      <c r="Q9" s="72" t="inlineStr">
        <is>
          <t>中</t>
        </is>
      </c>
      <c r="R9" s="72" t="inlineStr">
        <is>
          <t>https://m.yingjiesheng.com/job-008-049-745.html｜https://job.zzu.edu.cn/teachin/view/id/190345｜https://school.gxjy.sdei.edu.cn/qut/school/TblCareerFairReviewRecord/detail/2026090310125082c23c12</t>
        </is>
      </c>
      <c r="S9" s="85" t="n">
        <v>46269</v>
      </c>
      <c r="T9" s="85" t="n">
        <v>46269</v>
      </c>
      <c r="U9" s="72" t="inlineStr">
        <is>
          <t>2027届校招已启动，招聘400人。昆山/南京基地：本科年薪13-15W，硕士15-18W，博士面议。天水基地：工艺工程师6500-8500元/月。专业覆盖材料、物理、化学、机电、自动化、计算机等。重点关注工艺工程师、测试工程师、自动化软件工程师。</t>
        </is>
      </c>
    </row>
    <row r="10">
      <c r="A10" s="72" t="inlineStr">
        <is>
          <t>COM-006</t>
        </is>
      </c>
      <c r="B10" s="72" t="inlineStr">
        <is>
          <t>广州视源电子科技股份有限公司</t>
        </is>
      </c>
      <c r="C10" s="72" t="inlineStr">
        <is>
          <t>CVTE视源股份</t>
        </is>
      </c>
      <c r="D10" s="72" t="inlineStr">
        <is>
          <t>民企</t>
        </is>
      </c>
      <c r="E10" s="72" t="inlineStr">
        <is>
          <t>智能制造</t>
        </is>
      </c>
      <c r="F10" s="72" t="inlineStr">
        <is>
          <t>广东省广州市黄埔区</t>
        </is>
      </c>
      <c r="G10" s="72" t="inlineStr">
        <is>
          <t>广州、重庆、武汉、合肥、苏州、上海、西安</t>
        </is>
      </c>
      <c r="H10" s="72" t="inlineStr">
        <is>
          <t>上市公司（002841.SZ）；连续四年营收超200亿；总人数超6700人，55.47%为技术人员，平均年龄约30岁</t>
        </is>
      </c>
      <c r="I10" s="84" t="inlineStr">
        <is>
          <t>2005</t>
        </is>
      </c>
      <c r="J10" s="72" t="inlineStr">
        <is>
          <t>交互显示、人工智能为核心的全球化高科技企业；液晶显示主控板卡、交互智能平板国内领先；旗下seewo希沃、MAXHUB领效等品牌；布局未来教育、企业服务、汽车电子、机器人</t>
        </is>
      </c>
      <c r="K10" s="72" t="inlineStr">
        <is>
          <t>https://www.cvte.com/</t>
        </is>
      </c>
      <c r="L10" s="72" t="inlineStr">
        <is>
          <t>https://campus.cvte.com/｜CVTE招聘公众号</t>
        </is>
      </c>
      <c r="M10" s="72" t="inlineStr">
        <is>
          <t>导师护航体系（一对一专业导师）；系统化学习资源（专业/管理/通识训练）；体验实习环节（实习津贴、免费三餐、免费住宿、往返交通补贴）</t>
        </is>
      </c>
      <c r="N10" s="72" t="inlineStr">
        <is>
          <t>每年多次调薪机会；全年服务奖励、绩效奖金；园区配套恒温泳池、健身房、咖啡厅；免费星级自助三餐；代租公寓零押金拎包入住</t>
        </is>
      </c>
      <c r="O10" s="72" t="inlineStr">
        <is>
          <t>中国制造业500强、福布斯出海TOP30；积极拥抱AI，应用软件岗明确涉及RAG、Agent、多模态AI开发；数据分析岗探索Data+AI落地；合肥有产业园，与你的工业AI+数据分析方向高度契合</t>
        </is>
      </c>
      <c r="P10" s="72" t="inlineStr">
        <is>
          <t>消费电子行业竞争激烈；部分岗位需适应出差；销售岗有业绩压力；体验实习环节可能影响时间安排</t>
        </is>
      </c>
      <c r="Q10" s="72" t="inlineStr">
        <is>
          <t>低</t>
        </is>
      </c>
      <c r="R10" s="72" t="inlineStr">
        <is>
          <t>https://jygl.dep.dlpu.edu.cn/campus/view/id/914289｜https://campus.cvte.com/project/7304f092b3cc11f083a91070fd64d1d0｜https://www.chaojijianli.com/xiaozhao/cvte-2027-autumn-campus-recruit-12406-6bca0f/</t>
        </is>
      </c>
      <c r="S10" s="85" t="n">
        <v>46269</v>
      </c>
      <c r="T10" s="85" t="n">
        <v>46269</v>
      </c>
      <c r="U10" s="72" t="inlineStr">
        <is>
          <t>2027届秋招已启动，网申截止2026-11-24。薪资：应用软件13-30K，数据分析10-15K，算法9-14K，硬件10-15K。九大类岗位，每次限投一个。流程：网申初筛→专业面试→综合面试→体验实习→offer。重点关注数据分析工程师（Data+AI方向）和应用软件开发工程师（Agent方向）。</t>
        </is>
      </c>
    </row>
    <row r="11">
      <c r="A11" s="72" t="inlineStr">
        <is>
          <t>COM-007</t>
        </is>
      </c>
      <c r="B11" s="72" t="inlineStr">
        <is>
          <t>上海米哈游网络科技股份有限公司</t>
        </is>
      </c>
      <c r="C11" s="72" t="inlineStr">
        <is>
          <t>米哈游</t>
        </is>
      </c>
      <c r="D11" s="72" t="inlineStr">
        <is>
          <t>民企</t>
        </is>
      </c>
      <c r="E11" s="72" t="inlineStr">
        <is>
          <t>游戏</t>
        </is>
      </c>
      <c r="F11" s="72" t="inlineStr">
        <is>
          <t>上海市徐汇区</t>
        </is>
      </c>
      <c r="G11" s="72" t="inlineStr">
        <is>
          <t>上海、北京、广州、深圳、杭州、成都、东京、首尔、新加坡、洛杉矶、蒙特利尔</t>
        </is>
      </c>
      <c r="H11" s="72" t="inlineStr">
        <is>
          <t>知名游戏公司；旗下《原神》《崩坏：星穹铁道》《绝区零》等；全球员工超5000人</t>
        </is>
      </c>
      <c r="I11" s="84" t="inlineStr">
        <is>
          <t>2012</t>
        </is>
      </c>
      <c r="J11" s="72" t="inlineStr">
        <is>
          <t>互动游戏产品开发与运营；旗下原神、崩坏系列、绝区零等全球知名IP；布局动画、漫画、音乐等泛娱乐内容</t>
        </is>
      </c>
      <c r="K11" s="72" t="inlineStr">
        <is>
          <t>https://www.mihoyo.com/</t>
        </is>
      </c>
      <c r="L11" s="72" t="inlineStr">
        <is>
          <t>https://campus.mihoyo.com/｜米哈游招聘公众号</t>
        </is>
      </c>
      <c r="M11" s="72" t="inlineStr">
        <is>
          <t>校招专项培训；1V1导师带教；专业/管理双通道晋升；充足的项目资源和技术成长空间</t>
        </is>
      </c>
      <c r="N11" s="72" t="inlineStr">
        <is>
          <t>游戏行业项目制，版本节点可能加班；具体强度因项目组而异；福利完善</t>
        </is>
      </c>
      <c r="O11" s="72" t="inlineStr">
        <is>
          <t>全球顶级游戏公司，爆款率高；游戏策划岗与你的游戏策划实习、独立游戏开发（Godot/RPG Maker）、数值框架经验直接匹配；AI在游戏中的应用日益增多</t>
        </is>
      </c>
      <c r="P11" s="72" t="inlineStr">
        <is>
          <t>游戏行业竞争激烈，项目不确定性大；校招竞争极为激烈；对游戏理解和作品集要求高；工作地点主要在上海</t>
        </is>
      </c>
      <c r="Q11" s="72" t="inlineStr">
        <is>
          <t>中</t>
        </is>
      </c>
      <c r="R11" s="72" t="inlineStr">
        <is>
          <t>https://jdjyw.jlu.edu.cn/mportal/recruit/details?id=43fc3abd3b0a43f7b4bbc9c6d8ca86ec｜米哈游校招官网</t>
        </is>
      </c>
      <c r="S11" s="85" t="n">
        <v>46269</v>
      </c>
      <c r="T11" s="85" t="n">
        <v>46269</v>
      </c>
      <c r="U11" s="72" t="inlineStr">
        <is>
          <t>2027届秋招网申时间：8月3日-10月31日。流程：简历投递→笔试→面试→Offer。岗位覆盖游戏策划、程序、美术、AI、测试等50+岗位。你的游戏策划实习+独立游戏开发经验是核心优势，建议准备游戏体验清单和作品集。</t>
        </is>
      </c>
    </row>
    <row r="12">
      <c r="A12" s="72" t="inlineStr">
        <is>
          <t>COM-008</t>
        </is>
      </c>
      <c r="B12" s="72" t="inlineStr">
        <is>
          <t>广州三七互娱科技有限公司</t>
        </is>
      </c>
      <c r="C12" s="72" t="inlineStr">
        <is>
          <t>三七互娱</t>
        </is>
      </c>
      <c r="D12" s="72" t="inlineStr">
        <is>
          <t>民企</t>
        </is>
      </c>
      <c r="E12" s="72" t="inlineStr">
        <is>
          <t>游戏</t>
        </is>
      </c>
      <c r="F12" s="72" t="inlineStr">
        <is>
          <t>广东省广州市</t>
        </is>
      </c>
      <c r="G12" s="72" t="inlineStr">
        <is>
          <t>广州、上海、武汉、成都、香港、新加坡、首尔、东京等</t>
        </is>
      </c>
      <c r="H12" s="72" t="inlineStr">
        <is>
          <t>A股上市公司（002555）；国内头部游戏厂商、游戏出海第一梯队；中国互联网综合实力百强</t>
        </is>
      </c>
      <c r="I12" s="84" t="inlineStr">
        <is>
          <t>2011</t>
        </is>
      </c>
      <c r="J12" s="72" t="inlineStr">
        <is>
          <t>精品游戏研发与全球发行；积极布局AI游戏赛道；旗下《永恒纪元》《斗罗大陆》《叫我大掌柜》等；覆盖手游、页游、海外发行</t>
        </is>
      </c>
      <c r="K12" s="72" t="inlineStr">
        <is>
          <t>https://www.37.com/</t>
        </is>
      </c>
      <c r="L12" s="72" t="inlineStr">
        <is>
          <t>https://campus.37.com/｜三七互娱招聘公众号</t>
        </is>
      </c>
      <c r="M12" s="72" t="inlineStr">
        <is>
          <t>校招专项培养体系；导师制；完善的晋升通道；AI游戏赛道布局提供技术成长机会</t>
        </is>
      </c>
      <c r="N12" s="72" t="inlineStr">
        <is>
          <t>游戏行业标准强度；项目制可能加班；具体因项目组而异</t>
        </is>
      </c>
      <c r="O12" s="72" t="inlineStr">
        <is>
          <t>国内头部游戏厂商，出海第一梯队；明确布局AI游戏赛道；数值策划岗与你的数值框架经验和数据分析能力高度匹配；AI算法/平台开发岗与AI Agent方向契合</t>
        </is>
      </c>
      <c r="P12" s="72" t="inlineStr">
        <is>
          <t>游戏行业周期性和政策风险；买量模式受市场影响；校招竞争激烈</t>
        </is>
      </c>
      <c r="Q12" s="72" t="inlineStr">
        <is>
          <t>中</t>
        </is>
      </c>
      <c r="R12" s="72" t="inlineStr">
        <is>
          <t>https://scdc.jnu.edu.cn/campus/view/id/1036268｜https://job.zzu.edu.cn/campus/view/id/1018758｜http://fjrclh.fzu.edu.cn/cmss/zpxx/62109</t>
        </is>
      </c>
      <c r="S12" s="85" t="n">
        <v>46269</v>
      </c>
      <c r="T12" s="85" t="n">
        <v>46269</v>
      </c>
      <c r="U12" s="72" t="inlineStr">
        <is>
          <t>2027届秋招已启动。岗位类别：游戏策划类（战斗策划、系统策划、数值策划）、游戏研发类、技术开发类（AI算法工程师、AI平台开发工程师）、游戏运营类、美术设计类、市场类。重点关注数值策划和AI算法/平台开发岗位。</t>
        </is>
      </c>
    </row>
    <row r="13">
      <c r="A13" s="72" t="inlineStr">
        <is>
          <t>COM-009</t>
        </is>
      </c>
      <c r="B13" s="72" t="inlineStr">
        <is>
          <t>网易（杭州）网络有限公司（雷火事业群）</t>
        </is>
      </c>
      <c r="C13" s="72" t="inlineStr">
        <is>
          <t>网易游戏</t>
        </is>
      </c>
      <c r="D13" s="72" t="inlineStr">
        <is>
          <t>民企</t>
        </is>
      </c>
      <c r="E13" s="72" t="inlineStr">
        <is>
          <t>游戏</t>
        </is>
      </c>
      <c r="F13" s="72" t="inlineStr">
        <is>
          <t>浙江省杭州市（雷火事业群）</t>
        </is>
      </c>
      <c r="G13" s="72" t="inlineStr">
        <is>
          <t>杭州、广州、上海、深圳</t>
        </is>
      </c>
      <c r="H13" s="72" t="inlineStr">
        <is>
          <t>网易旗下游戏事业部；雷火事业群负责《逆水寒》《永劫无间》《倩女幽魂》等旗舰产品；员工规模大</t>
        </is>
      </c>
      <c r="I13" s="84" t="inlineStr">
        <is>
          <t>1997（网易公司）</t>
        </is>
      </c>
      <c r="J13" s="72" t="inlineStr">
        <is>
          <t>游戏研发与运营；雷火事业群产品含逆水寒、永劫无间、倩女幽魂、无限大、归唐等及暴雪合作项目；AI在游戏中深度应用</t>
        </is>
      </c>
      <c r="K13" s="72" t="inlineStr">
        <is>
          <t>https://game.163.com/</t>
        </is>
      </c>
      <c r="L13" s="72" t="inlineStr">
        <is>
          <t>https://game.campus.163.com/｜网易游戏招聘公众号</t>
        </is>
      </c>
      <c r="M13" s="72" t="inlineStr">
        <is>
          <t>头部平台资源；极致自研实力与创新；充足HC（50+岗位）；完善的培训和导师体系</t>
        </is>
      </c>
      <c r="N13" s="72" t="inlineStr">
        <is>
          <t>游戏行业项目制强度；旗舰项目组压力较大；福利完善</t>
        </is>
      </c>
      <c r="O13" s="72" t="inlineStr">
        <is>
          <t>国内顶级游戏厂商，爆款率高；雷火事业群AI应用领先（逆水寒AI NPC等）；游戏策划岗与你的游戏策划实习和独立开发经验匹配；人工智能岗与AI Agent方向契合</t>
        </is>
      </c>
      <c r="P13" s="72" t="inlineStr">
        <is>
          <t>校招竞争极为激烈；对游戏理解和专业能力要求高；部分项目组工作强度大</t>
        </is>
      </c>
      <c r="Q13" s="72" t="inlineStr">
        <is>
          <t>中</t>
        </is>
      </c>
      <c r="R13" s="72" t="inlineStr">
        <is>
          <t>https://www.scfai.edu.cn/xsc/info/1015/19202.htm｜网易游戏校招官网</t>
        </is>
      </c>
      <c r="S13" s="85" t="n">
        <v>46269</v>
      </c>
      <c r="T13" s="85" t="n">
        <v>46269</v>
      </c>
      <c r="U13" s="72" t="inlineStr">
        <is>
          <t>2027届秋招已开启。雷火事业群50+岗位：游戏策划、程序、美术、品牌营销、人工智能、测试等。你的游戏策划实习+独立游戏开发+AI工具使用经验可形成差异化优势，建议准备游戏分析报告和作品集。</t>
        </is>
      </c>
    </row>
    <row r="14">
      <c r="A14" s="72" t="inlineStr">
        <is>
          <t>COM-010</t>
        </is>
      </c>
      <c r="B14" s="72" t="inlineStr">
        <is>
          <t>拼多多（上海）网络科技有限公司</t>
        </is>
      </c>
      <c r="C14" s="72" t="inlineStr">
        <is>
          <t>拼多多</t>
        </is>
      </c>
      <c r="D14" s="72" t="inlineStr">
        <is>
          <t>民企</t>
        </is>
      </c>
      <c r="E14" s="72" t="inlineStr">
        <is>
          <t>互联网/软件</t>
        </is>
      </c>
      <c r="F14" s="72" t="inlineStr">
        <is>
          <t>上海市</t>
        </is>
      </c>
      <c r="G14" s="72" t="inlineStr">
        <is>
          <t>上海、北京、深圳、杭州、广州等</t>
        </is>
      </c>
      <c r="H14" s="72" t="inlineStr">
        <is>
          <t>上市公司（PDD）；中国领先的新电商平台；员工数万人</t>
        </is>
      </c>
      <c r="I14" s="84" t="inlineStr">
        <is>
          <t>2015</t>
        </is>
      </c>
      <c r="J14" s="72" t="inlineStr">
        <is>
          <t>新电商平台运营；旗下拼多多、Temu跨境电商；大力投入AI研发，包括AI Agent、大模型应用</t>
        </is>
      </c>
      <c r="K14" s="72" t="inlineStr">
        <is>
          <t>https://www.pinduoduo.com/</t>
        </is>
      </c>
      <c r="L14" s="72" t="inlineStr">
        <is>
          <t>https://careers.pddglobalhr.com/campus｜拼多多招聘公众号</t>
        </is>
      </c>
      <c r="M14" s="72" t="inlineStr">
        <is>
          <t>互联网大厂培养体系；技术成长快；项目资源丰富</t>
        </is>
      </c>
      <c r="N14" s="72" t="inlineStr">
        <is>
          <t>互联网大厂强度，可能加班较多；具体因团队而异</t>
        </is>
      </c>
      <c r="O14" s="72" t="inlineStr">
        <is>
          <t>AI Agent研发工程师岗位明确招聘200人，薪资20K+；与你熟练使用Codex/Cursor/Qoder等AI Agent工具的经验有结合点；但核心研发岗对计算机基础要求高</t>
        </is>
      </c>
      <c r="P14" s="72" t="inlineStr">
        <is>
          <t>互联网行业竞争激烈；核心研发岗学历和专业门槛高（通常要求计算机相关硕士）；工作强度大；非科班背景跨专业难度较大</t>
        </is>
      </c>
      <c r="Q14" s="72" t="inlineStr">
        <is>
          <t>高</t>
        </is>
      </c>
      <c r="R14" s="72" t="inlineStr">
        <is>
          <t>https://career.nankai.edu.cn/correcruit/content/id/116275.html｜拼多多校招官网</t>
        </is>
      </c>
      <c r="S14" s="85" t="n">
        <v>46269</v>
      </c>
      <c r="T14" s="85" t="n">
        <v>46269</v>
      </c>
      <c r="U14" s="72" t="inlineStr">
        <is>
          <t>2027届提前批AI Agent研发工程师已开放，招聘200人，薪资20000元以上，专业不限。投递邮箱limianyang@pinduoduo.com。建议作为冲刺目标，重点准备AI Agent项目经验和编程基础。</t>
        </is>
      </c>
    </row>
    <row r="15">
      <c r="A15" s="72" t="inlineStr">
        <is>
          <t>COM-011</t>
        </is>
      </c>
      <c r="B15" s="72" t="inlineStr">
        <is>
          <t>万兴科技集团股份有限公司</t>
        </is>
      </c>
      <c r="C15" s="72" t="inlineStr">
        <is>
          <t>万兴科技</t>
        </is>
      </c>
      <c r="D15" s="72" t="inlineStr">
        <is>
          <t>民企</t>
        </is>
      </c>
      <c r="E15" s="72" t="inlineStr">
        <is>
          <t>AI/大模型</t>
        </is>
      </c>
      <c r="F15" s="72" t="inlineStr">
        <is>
          <t>湖南省长沙市（深圳为研发中心）</t>
        </is>
      </c>
      <c r="G15" s="72" t="inlineStr">
        <is>
          <t>长沙、深圳、杭州、北京、日本东京</t>
        </is>
      </c>
      <c r="H15" s="72" t="inlineStr">
        <is>
          <t>A股上市公司（300624）；数字创意软件龙头；员工规模待核验</t>
        </is>
      </c>
      <c r="I15" s="84" t="inlineStr">
        <is>
          <t>2003</t>
        </is>
      </c>
      <c r="J15" s="72" t="inlineStr">
        <is>
          <t>数字创意软件研发与销售；旗下万兴喵影、万兴PDF、万兴播爆等；全面布局AI，AI研发岗首年年薪可达100万</t>
        </is>
      </c>
      <c r="K15" s="72" t="inlineStr">
        <is>
          <t>https://www.wondershare.cn/</t>
        </is>
      </c>
      <c r="L15" s="72" t="inlineStr">
        <is>
          <t>https://career.wondershare.cn/｜万兴科技招聘公众号</t>
        </is>
      </c>
      <c r="M15" s="72" t="inlineStr">
        <is>
          <t>拿一线城市高薪，住长沙宜居房子；AI研发投入大；全球化业务视野</t>
        </is>
      </c>
      <c r="N15" s="72" t="inlineStr">
        <is>
          <t>软件公司标准强度；AI研发岗可能项目压力较大</t>
        </is>
      </c>
      <c r="O15" s="72" t="inlineStr">
        <is>
          <t>明确以AI为核心战略，AI应用开发、算法开发岗位需求大；应届生平均年薪可达50万，研发岗首年高达100万；长沙基地生活成本低、性价比高；与你的AI工具使用和软件开发兴趣契合</t>
        </is>
      </c>
      <c r="P15" s="72" t="inlineStr">
        <is>
          <t>AI研发核心岗对算法和编程基础要求高；非科班背景跨专业有难度；长沙/深圳两地选择需确认</t>
        </is>
      </c>
      <c r="Q15" s="72" t="inlineStr">
        <is>
          <t>中</t>
        </is>
      </c>
      <c r="R15" s="72" t="inlineStr">
        <is>
          <t>http://m.toutiao.com/group/7675609465206342185/｜万兴科技校招官网</t>
        </is>
      </c>
      <c r="S15" s="85" t="n">
        <v>46269</v>
      </c>
      <c r="T15" s="85" t="n">
        <v>46269</v>
      </c>
      <c r="U15" s="72" t="inlineStr">
        <is>
          <t>2027届全球校招已启动，开放数百个岗位。AI应用开发、算法开发、算法工程化等研发岗首年年薪可达100万，应届生平均年薪50万。工作地点：长沙、深圳、杭州、北京、东京。重点关注AI应用开发岗位。</t>
        </is>
      </c>
    </row>
    <row r="16">
      <c r="A16" s="72" t="inlineStr">
        <is>
          <t>COM-012</t>
        </is>
      </c>
      <c r="B16" s="72" t="inlineStr">
        <is>
          <t>深南电路股份有限公司</t>
        </is>
      </c>
      <c r="C16" s="72" t="inlineStr">
        <is>
          <t>深南电路</t>
        </is>
      </c>
      <c r="D16" s="72" t="inlineStr">
        <is>
          <t>央企</t>
        </is>
      </c>
      <c r="E16" s="72" t="inlineStr">
        <is>
          <t>半导体</t>
        </is>
      </c>
      <c r="F16" s="72" t="inlineStr">
        <is>
          <t>广东省深圳市龙岗区坪地街道盐龙大道1639号</t>
        </is>
      </c>
      <c r="G16" s="72" t="inlineStr">
        <is>
          <t>深圳、广州、无锡、南通、成都</t>
        </is>
      </c>
      <c r="H16" s="72" t="inlineStr">
        <is>
          <t>上市公司（002916.SZ）；全球PCB企业Top 4；员工20,000+人；2025年营收236.47亿元</t>
        </is>
      </c>
      <c r="I16" s="84" t="n">
        <v>1984</v>
      </c>
      <c r="J16" s="72" t="inlineStr">
        <is>
          <t>印制电路板、封装基板及电子装联产品的研发、生产与销售；提供方案设计、制造、电子装联、微组装和测试等全价值链服务</t>
        </is>
      </c>
      <c r="K16" s="72" t="inlineStr">
        <is>
          <t>https://www.scc.com.cn/</t>
        </is>
      </c>
      <c r="L16" s="72" t="inlineStr">
        <is>
          <t>https://scc.zhiye.com/campus/jobs｜深南电路招聘公众号｜招聘邮箱scc@zhiye.com</t>
        </is>
      </c>
      <c r="M16" s="72" t="inlineStr">
        <is>
          <t>校招专项培训；导师带教；管理/技术双通道晋升；深南夏令营；具体培养周期和轮岗安排待面试核验</t>
        </is>
      </c>
      <c r="N16" s="72" t="inlineStr">
        <is>
          <t>制造产线岗位可能涉及倒班、无尘车间和现场值守；设备/生产管理岗需跟进产线节奏；研发/职能岗强度待确认</t>
        </is>
      </c>
      <c r="O16" s="72" t="inlineStr">
        <is>
          <t>全球PCB Top 4、央企控股上市公司；封装基板国产替代加速；AI服务器/通信/汽车电子需求拉动；与工业AI/智能制造方向有结合点</t>
        </is>
      </c>
      <c r="P16" s="72" t="inlineStr">
        <is>
          <t>电子制造行业具有周期性；部分岗位需倒班和适应工厂环境；具体薪资数额待招聘沟通确认</t>
        </is>
      </c>
      <c r="Q16" s="72" t="inlineStr">
        <is>
          <t>中</t>
        </is>
      </c>
      <c r="R16" s="72" t="inlineStr">
        <is>
          <t>https://www.scc.com.cn/scc/xxgk/jbxx/qygk/｜https://scc.zhiye.com/campus/jobs｜https://jy.cumtb.edu.cn/Zhaopin/xiaozhao.html?id=88ff05ae-8d1c-3e38-80ab-c06819fbd86a&amp;type=1</t>
        </is>
      </c>
      <c r="S16" s="85" t="n">
        <v>46272</v>
      </c>
      <c r="T16" s="85" t="n">
        <v>46272</v>
      </c>
      <c r="U16" s="72" t="inlineStr">
        <is>
          <t>2027届秋招已启动（9月4日多所高校发布简章），共33个本硕岗位+8个博士岗位，总招聘人数超2000人。本硕薪资：本科9-17.5W/年，硕士12-23W/年，博士35W+/年。工作地点：深圳、广州、无锡、南通、成都、北京、武汉、泰国。招聘流程：网申→AI测评/专业面试→专业问题研讨→终面→签约洽谈→Offer发放。与你的冶金+通信+数据分析/AI背景匹配的岗位：智能制造岗、数据运营岗、工艺研发岗、设备管理岗、质量管理岗。</t>
        </is>
      </c>
    </row>
    <row r="17">
      <c r="S17" s="86" t="n"/>
      <c r="T17" s="86" t="n"/>
    </row>
    <row r="18">
      <c r="S18" s="86" t="n"/>
      <c r="T18" s="86" t="n"/>
    </row>
    <row r="19">
      <c r="S19" s="86" t="n"/>
      <c r="T19" s="86" t="n"/>
    </row>
    <row r="20">
      <c r="S20" s="86" t="n"/>
      <c r="T20" s="86" t="n"/>
    </row>
    <row r="21">
      <c r="S21" s="86" t="n"/>
      <c r="T21" s="86" t="n"/>
    </row>
    <row r="22">
      <c r="S22" s="86" t="n"/>
      <c r="T22" s="86" t="n"/>
    </row>
    <row r="23">
      <c r="S23" s="86" t="n"/>
      <c r="T23" s="86" t="n"/>
    </row>
    <row r="24">
      <c r="S24" s="86" t="n"/>
      <c r="T24" s="86" t="n"/>
    </row>
    <row r="25">
      <c r="S25" s="86" t="n"/>
      <c r="T25" s="86" t="n"/>
    </row>
    <row r="26">
      <c r="S26" s="86" t="n"/>
      <c r="T26" s="86" t="n"/>
    </row>
    <row r="27">
      <c r="S27" s="86" t="n"/>
      <c r="T27" s="86" t="n"/>
    </row>
    <row r="28">
      <c r="S28" s="86" t="n"/>
      <c r="T28" s="86" t="n"/>
    </row>
    <row r="29">
      <c r="S29" s="86" t="n"/>
      <c r="T29" s="86" t="n"/>
    </row>
    <row r="30">
      <c r="S30" s="86" t="n"/>
      <c r="T30" s="86" t="n"/>
    </row>
    <row r="31">
      <c r="S31" s="86" t="n"/>
      <c r="T31" s="86" t="n"/>
    </row>
    <row r="32">
      <c r="S32" s="86" t="n"/>
      <c r="T32" s="86" t="n"/>
    </row>
    <row r="33">
      <c r="S33" s="86" t="n"/>
      <c r="T33" s="86" t="n"/>
    </row>
    <row r="34">
      <c r="S34" s="86" t="n"/>
      <c r="T34" s="86" t="n"/>
    </row>
    <row r="35">
      <c r="S35" s="86" t="n"/>
      <c r="T35" s="86" t="n"/>
    </row>
    <row r="36">
      <c r="S36" s="86" t="n"/>
      <c r="T36" s="86" t="n"/>
    </row>
    <row r="37">
      <c r="S37" s="86" t="n"/>
      <c r="T37" s="86" t="n"/>
    </row>
    <row r="38">
      <c r="S38" s="86" t="n"/>
      <c r="T38" s="86" t="n"/>
    </row>
    <row r="39">
      <c r="S39" s="86" t="n"/>
      <c r="T39" s="86" t="n"/>
    </row>
    <row r="40">
      <c r="S40" s="86" t="n"/>
      <c r="T40" s="86" t="n"/>
    </row>
    <row r="41">
      <c r="S41" s="86" t="n"/>
      <c r="T41" s="86" t="n"/>
    </row>
    <row r="42">
      <c r="S42" s="86" t="n"/>
      <c r="T42" s="86" t="n"/>
    </row>
    <row r="43">
      <c r="S43" s="86" t="n"/>
      <c r="T43" s="86" t="n"/>
    </row>
    <row r="44">
      <c r="S44" s="86" t="n"/>
      <c r="T44" s="86" t="n"/>
    </row>
    <row r="45">
      <c r="S45" s="86" t="n"/>
      <c r="T45" s="86" t="n"/>
    </row>
    <row r="46">
      <c r="S46" s="86" t="n"/>
      <c r="T46" s="86" t="n"/>
    </row>
    <row r="47">
      <c r="S47" s="86" t="n"/>
      <c r="T47" s="86" t="n"/>
    </row>
    <row r="48">
      <c r="S48" s="86" t="n"/>
      <c r="T48" s="86" t="n"/>
    </row>
    <row r="49">
      <c r="S49" s="86" t="n"/>
      <c r="T49" s="86" t="n"/>
    </row>
    <row r="50">
      <c r="S50" s="86" t="n"/>
      <c r="T50" s="86" t="n"/>
    </row>
    <row r="51">
      <c r="S51" s="86" t="n"/>
      <c r="T51" s="86" t="n"/>
    </row>
    <row r="52">
      <c r="S52" s="86" t="n"/>
      <c r="T52" s="86" t="n"/>
    </row>
    <row r="53">
      <c r="S53" s="86" t="n"/>
      <c r="T53" s="86" t="n"/>
    </row>
    <row r="54">
      <c r="S54" s="86" t="n"/>
      <c r="T54" s="86" t="n"/>
    </row>
    <row r="55">
      <c r="S55" s="86" t="n"/>
      <c r="T55" s="86" t="n"/>
    </row>
    <row r="56">
      <c r="S56" s="86" t="n"/>
      <c r="T56" s="86" t="n"/>
    </row>
    <row r="57">
      <c r="S57" s="86" t="n"/>
      <c r="T57" s="86" t="n"/>
    </row>
    <row r="58">
      <c r="S58" s="86" t="n"/>
      <c r="T58" s="86" t="n"/>
    </row>
    <row r="59">
      <c r="S59" s="86" t="n"/>
      <c r="T59" s="86" t="n"/>
    </row>
    <row r="60">
      <c r="S60" s="86" t="n"/>
      <c r="T60" s="86" t="n"/>
    </row>
    <row r="61">
      <c r="S61" s="86" t="n"/>
      <c r="T61" s="86" t="n"/>
    </row>
    <row r="62">
      <c r="S62" s="86" t="n"/>
      <c r="T62" s="86" t="n"/>
    </row>
    <row r="63">
      <c r="S63" s="86" t="n"/>
      <c r="T63" s="86" t="n"/>
    </row>
    <row r="64">
      <c r="S64" s="86" t="n"/>
      <c r="T64" s="86" t="n"/>
    </row>
    <row r="65">
      <c r="S65" s="86" t="n"/>
      <c r="T65" s="86" t="n"/>
    </row>
    <row r="66">
      <c r="S66" s="86" t="n"/>
      <c r="T66" s="86" t="n"/>
    </row>
    <row r="67">
      <c r="S67" s="86" t="n"/>
      <c r="T67" s="86" t="n"/>
    </row>
    <row r="68">
      <c r="S68" s="86" t="n"/>
      <c r="T68" s="86" t="n"/>
    </row>
    <row r="69">
      <c r="S69" s="86" t="n"/>
      <c r="T69" s="86" t="n"/>
    </row>
    <row r="70">
      <c r="S70" s="86" t="n"/>
      <c r="T70" s="86" t="n"/>
    </row>
    <row r="71">
      <c r="S71" s="86" t="n"/>
      <c r="T71" s="86" t="n"/>
    </row>
    <row r="72">
      <c r="S72" s="86" t="n"/>
      <c r="T72" s="86" t="n"/>
    </row>
    <row r="73">
      <c r="S73" s="86" t="n"/>
      <c r="T73" s="86" t="n"/>
    </row>
    <row r="74">
      <c r="S74" s="86" t="n"/>
      <c r="T74" s="86" t="n"/>
    </row>
    <row r="75">
      <c r="S75" s="86" t="n"/>
      <c r="T75" s="86" t="n"/>
    </row>
    <row r="76">
      <c r="S76" s="86" t="n"/>
      <c r="T76" s="86" t="n"/>
    </row>
    <row r="77">
      <c r="S77" s="86" t="n"/>
      <c r="T77" s="86" t="n"/>
    </row>
    <row r="78">
      <c r="S78" s="86" t="n"/>
      <c r="T78" s="86" t="n"/>
    </row>
    <row r="79">
      <c r="S79" s="86" t="n"/>
      <c r="T79" s="86" t="n"/>
    </row>
    <row r="80">
      <c r="S80" s="86" t="n"/>
      <c r="T80" s="86" t="n"/>
    </row>
    <row r="81">
      <c r="S81" s="86" t="n"/>
      <c r="T81" s="86" t="n"/>
    </row>
    <row r="82">
      <c r="S82" s="86" t="n"/>
      <c r="T82" s="86" t="n"/>
    </row>
    <row r="83">
      <c r="S83" s="86" t="n"/>
      <c r="T83" s="86" t="n"/>
    </row>
    <row r="84">
      <c r="S84" s="86" t="n"/>
      <c r="T84" s="86" t="n"/>
    </row>
    <row r="85">
      <c r="S85" s="86" t="n"/>
      <c r="T85" s="86" t="n"/>
    </row>
    <row r="86">
      <c r="S86" s="86" t="n"/>
      <c r="T86" s="86" t="n"/>
    </row>
    <row r="87">
      <c r="S87" s="86" t="n"/>
      <c r="T87" s="86" t="n"/>
    </row>
    <row r="88">
      <c r="S88" s="86" t="n"/>
      <c r="T88" s="86" t="n"/>
    </row>
    <row r="89">
      <c r="S89" s="86" t="n"/>
      <c r="T89" s="86" t="n"/>
    </row>
    <row r="90">
      <c r="S90" s="86" t="n"/>
      <c r="T90" s="86" t="n"/>
    </row>
    <row r="91">
      <c r="S91" s="86" t="n"/>
      <c r="T91" s="86" t="n"/>
    </row>
    <row r="92">
      <c r="S92" s="86" t="n"/>
      <c r="T92" s="86" t="n"/>
    </row>
    <row r="93">
      <c r="S93" s="86" t="n"/>
      <c r="T93" s="86" t="n"/>
    </row>
    <row r="94">
      <c r="S94" s="86" t="n"/>
      <c r="T94" s="86" t="n"/>
    </row>
    <row r="95">
      <c r="S95" s="86" t="n"/>
      <c r="T95" s="86" t="n"/>
    </row>
    <row r="96">
      <c r="S96" s="86" t="n"/>
      <c r="T96" s="86" t="n"/>
    </row>
    <row r="97">
      <c r="S97" s="86" t="n"/>
      <c r="T97" s="86" t="n"/>
    </row>
    <row r="98">
      <c r="S98" s="86" t="n"/>
      <c r="T98" s="86" t="n"/>
    </row>
    <row r="99">
      <c r="S99" s="86" t="n"/>
      <c r="T99" s="86" t="n"/>
    </row>
    <row r="100">
      <c r="S100" s="86" t="n"/>
      <c r="T100" s="86" t="n"/>
    </row>
    <row r="101">
      <c r="S101" s="86" t="n"/>
      <c r="T101" s="86" t="n"/>
    </row>
    <row r="102">
      <c r="S102" s="86" t="n"/>
      <c r="T102" s="86" t="n"/>
    </row>
    <row r="103">
      <c r="S103" s="86" t="n"/>
      <c r="T103" s="86" t="n"/>
    </row>
    <row r="104">
      <c r="S104" s="86" t="n"/>
      <c r="T104" s="86" t="n"/>
    </row>
    <row r="105">
      <c r="S105" s="86" t="n"/>
      <c r="T105" s="86" t="n"/>
    </row>
    <row r="106">
      <c r="S106" s="86" t="n"/>
      <c r="T106" s="86" t="n"/>
    </row>
    <row r="107">
      <c r="S107" s="86" t="n"/>
      <c r="T107" s="86" t="n"/>
    </row>
    <row r="108">
      <c r="S108" s="86" t="n"/>
      <c r="T108" s="86" t="n"/>
    </row>
    <row r="109">
      <c r="S109" s="86" t="n"/>
      <c r="T109" s="86" t="n"/>
    </row>
    <row r="110">
      <c r="S110" s="86" t="n"/>
      <c r="T110" s="86" t="n"/>
    </row>
    <row r="111">
      <c r="S111" s="86" t="n"/>
      <c r="T111" s="86" t="n"/>
    </row>
    <row r="112">
      <c r="S112" s="86" t="n"/>
      <c r="T112" s="86" t="n"/>
    </row>
    <row r="113">
      <c r="S113" s="86" t="n"/>
      <c r="T113" s="86" t="n"/>
    </row>
    <row r="114">
      <c r="S114" s="86" t="n"/>
      <c r="T114" s="86" t="n"/>
    </row>
    <row r="115">
      <c r="S115" s="86" t="n"/>
      <c r="T115" s="86" t="n"/>
    </row>
    <row r="116">
      <c r="S116" s="86" t="n"/>
      <c r="T116" s="86" t="n"/>
    </row>
    <row r="117">
      <c r="S117" s="86" t="n"/>
      <c r="T117" s="86" t="n"/>
    </row>
    <row r="118">
      <c r="S118" s="86" t="n"/>
      <c r="T118" s="86" t="n"/>
    </row>
    <row r="119">
      <c r="S119" s="86" t="n"/>
      <c r="T119" s="86" t="n"/>
    </row>
    <row r="120">
      <c r="S120" s="86" t="n"/>
      <c r="T120" s="86" t="n"/>
    </row>
    <row r="121">
      <c r="S121" s="86" t="n"/>
      <c r="T121" s="86" t="n"/>
    </row>
    <row r="122">
      <c r="S122" s="86" t="n"/>
      <c r="T122" s="86" t="n"/>
    </row>
    <row r="123">
      <c r="S123" s="86" t="n"/>
      <c r="T123" s="86" t="n"/>
    </row>
    <row r="124">
      <c r="S124" s="86" t="n"/>
      <c r="T124" s="86" t="n"/>
    </row>
    <row r="125">
      <c r="S125" s="86" t="n"/>
      <c r="T125" s="86" t="n"/>
    </row>
    <row r="126">
      <c r="S126" s="86" t="n"/>
      <c r="T126" s="86" t="n"/>
    </row>
    <row r="127">
      <c r="S127" s="86" t="n"/>
      <c r="T127" s="86" t="n"/>
    </row>
    <row r="128">
      <c r="S128" s="86" t="n"/>
      <c r="T128" s="86" t="n"/>
    </row>
    <row r="129">
      <c r="S129" s="86" t="n"/>
      <c r="T129" s="86" t="n"/>
    </row>
    <row r="130">
      <c r="S130" s="86" t="n"/>
      <c r="T130" s="86" t="n"/>
    </row>
    <row r="131">
      <c r="S131" s="86" t="n"/>
      <c r="T131" s="86" t="n"/>
    </row>
    <row r="132">
      <c r="S132" s="86" t="n"/>
      <c r="T132" s="86" t="n"/>
    </row>
    <row r="133">
      <c r="S133" s="86" t="n"/>
      <c r="T133" s="86" t="n"/>
    </row>
    <row r="134">
      <c r="S134" s="86" t="n"/>
      <c r="T134" s="86" t="n"/>
    </row>
    <row r="135">
      <c r="S135" s="86" t="n"/>
      <c r="T135" s="86" t="n"/>
    </row>
    <row r="136">
      <c r="S136" s="86" t="n"/>
      <c r="T136" s="86" t="n"/>
    </row>
    <row r="137">
      <c r="S137" s="86" t="n"/>
      <c r="T137" s="86" t="n"/>
    </row>
    <row r="138">
      <c r="S138" s="86" t="n"/>
      <c r="T138" s="86" t="n"/>
    </row>
    <row r="139">
      <c r="S139" s="86" t="n"/>
      <c r="T139" s="86" t="n"/>
    </row>
    <row r="140">
      <c r="S140" s="86" t="n"/>
      <c r="T140" s="86" t="n"/>
    </row>
    <row r="141">
      <c r="S141" s="86" t="n"/>
      <c r="T141" s="86" t="n"/>
    </row>
    <row r="142">
      <c r="S142" s="86" t="n"/>
      <c r="T142" s="86" t="n"/>
    </row>
    <row r="143">
      <c r="S143" s="86" t="n"/>
      <c r="T143" s="86" t="n"/>
    </row>
    <row r="144">
      <c r="S144" s="86" t="n"/>
      <c r="T144" s="86" t="n"/>
    </row>
    <row r="145">
      <c r="S145" s="86" t="n"/>
      <c r="T145" s="86" t="n"/>
    </row>
    <row r="146">
      <c r="S146" s="86" t="n"/>
      <c r="T146" s="86" t="n"/>
    </row>
    <row r="147">
      <c r="S147" s="86" t="n"/>
      <c r="T147" s="86" t="n"/>
    </row>
    <row r="148">
      <c r="S148" s="86" t="n"/>
      <c r="T148" s="86" t="n"/>
    </row>
    <row r="149">
      <c r="S149" s="86" t="n"/>
      <c r="T149" s="86" t="n"/>
    </row>
    <row r="150">
      <c r="S150" s="86" t="n"/>
      <c r="T150" s="86" t="n"/>
    </row>
    <row r="151">
      <c r="S151" s="86" t="n"/>
      <c r="T151" s="86" t="n"/>
    </row>
    <row r="152">
      <c r="S152" s="86" t="n"/>
      <c r="T152" s="86" t="n"/>
    </row>
    <row r="153">
      <c r="S153" s="86" t="n"/>
      <c r="T153" s="86" t="n"/>
    </row>
    <row r="154">
      <c r="S154" s="86" t="n"/>
      <c r="T154" s="86" t="n"/>
    </row>
    <row r="155">
      <c r="S155" s="86" t="n"/>
      <c r="T155" s="86" t="n"/>
    </row>
    <row r="156">
      <c r="S156" s="86" t="n"/>
      <c r="T156" s="86" t="n"/>
    </row>
    <row r="157">
      <c r="S157" s="86" t="n"/>
      <c r="T157" s="86" t="n"/>
    </row>
    <row r="158">
      <c r="S158" s="86" t="n"/>
      <c r="T158" s="86" t="n"/>
    </row>
    <row r="159">
      <c r="S159" s="86" t="n"/>
      <c r="T159" s="86" t="n"/>
    </row>
    <row r="160">
      <c r="S160" s="86" t="n"/>
      <c r="T160" s="86" t="n"/>
    </row>
    <row r="161">
      <c r="S161" s="86" t="n"/>
      <c r="T161" s="86" t="n"/>
    </row>
    <row r="162">
      <c r="S162" s="86" t="n"/>
      <c r="T162" s="86" t="n"/>
    </row>
    <row r="163">
      <c r="S163" s="86" t="n"/>
      <c r="T163" s="86" t="n"/>
    </row>
    <row r="164">
      <c r="S164" s="86" t="n"/>
      <c r="T164" s="86" t="n"/>
    </row>
    <row r="165">
      <c r="S165" s="86" t="n"/>
      <c r="T165" s="86" t="n"/>
    </row>
    <row r="166">
      <c r="S166" s="86" t="n"/>
      <c r="T166" s="86" t="n"/>
    </row>
    <row r="167">
      <c r="S167" s="86" t="n"/>
      <c r="T167" s="86" t="n"/>
    </row>
    <row r="168">
      <c r="S168" s="86" t="n"/>
      <c r="T168" s="86" t="n"/>
    </row>
    <row r="169">
      <c r="S169" s="86" t="n"/>
      <c r="T169" s="86" t="n"/>
    </row>
    <row r="170">
      <c r="S170" s="86" t="n"/>
      <c r="T170" s="86" t="n"/>
    </row>
    <row r="171">
      <c r="S171" s="86" t="n"/>
      <c r="T171" s="86" t="n"/>
    </row>
    <row r="172">
      <c r="S172" s="86" t="n"/>
      <c r="T172" s="86" t="n"/>
    </row>
    <row r="173">
      <c r="S173" s="86" t="n"/>
      <c r="T173" s="86" t="n"/>
    </row>
    <row r="174">
      <c r="S174" s="86" t="n"/>
      <c r="T174" s="86" t="n"/>
    </row>
    <row r="175">
      <c r="S175" s="86" t="n"/>
      <c r="T175" s="86" t="n"/>
    </row>
    <row r="176">
      <c r="S176" s="86" t="n"/>
      <c r="T176" s="86" t="n"/>
    </row>
    <row r="177">
      <c r="S177" s="86" t="n"/>
      <c r="T177" s="86" t="n"/>
    </row>
    <row r="178">
      <c r="S178" s="86" t="n"/>
      <c r="T178" s="86" t="n"/>
    </row>
    <row r="179">
      <c r="S179" s="86" t="n"/>
      <c r="T179" s="86" t="n"/>
    </row>
    <row r="180">
      <c r="S180" s="86" t="n"/>
      <c r="T180" s="86" t="n"/>
    </row>
    <row r="181">
      <c r="S181" s="86" t="n"/>
      <c r="T181" s="86" t="n"/>
    </row>
    <row r="182">
      <c r="S182" s="86" t="n"/>
      <c r="T182" s="86" t="n"/>
    </row>
    <row r="183">
      <c r="S183" s="86" t="n"/>
      <c r="T183" s="86" t="n"/>
    </row>
    <row r="184">
      <c r="S184" s="86" t="n"/>
      <c r="T184" s="86" t="n"/>
    </row>
    <row r="185">
      <c r="S185" s="86" t="n"/>
      <c r="T185" s="86" t="n"/>
    </row>
    <row r="186">
      <c r="S186" s="86" t="n"/>
      <c r="T186" s="86" t="n"/>
    </row>
    <row r="187">
      <c r="S187" s="86" t="n"/>
      <c r="T187" s="86" t="n"/>
    </row>
    <row r="188">
      <c r="S188" s="86" t="n"/>
      <c r="T188" s="86" t="n"/>
    </row>
    <row r="189">
      <c r="S189" s="86" t="n"/>
      <c r="T189" s="86" t="n"/>
    </row>
    <row r="190">
      <c r="S190" s="86" t="n"/>
      <c r="T190" s="86" t="n"/>
    </row>
    <row r="191">
      <c r="S191" s="86" t="n"/>
      <c r="T191" s="86" t="n"/>
    </row>
    <row r="192">
      <c r="S192" s="86" t="n"/>
      <c r="T192" s="86" t="n"/>
    </row>
    <row r="193">
      <c r="S193" s="86" t="n"/>
      <c r="T193" s="86" t="n"/>
    </row>
    <row r="194">
      <c r="S194" s="86" t="n"/>
      <c r="T194" s="86" t="n"/>
    </row>
    <row r="195">
      <c r="S195" s="86" t="n"/>
      <c r="T195" s="86" t="n"/>
    </row>
    <row r="196">
      <c r="S196" s="86" t="n"/>
      <c r="T196" s="86" t="n"/>
    </row>
    <row r="197">
      <c r="S197" s="86" t="n"/>
      <c r="T197" s="86" t="n"/>
    </row>
    <row r="198">
      <c r="S198" s="86" t="n"/>
      <c r="T198" s="86" t="n"/>
    </row>
    <row r="199">
      <c r="S199" s="86" t="n"/>
      <c r="T199" s="86" t="n"/>
    </row>
    <row r="200">
      <c r="S200" s="86" t="n"/>
      <c r="T200" s="86" t="n"/>
    </row>
    <row r="201">
      <c r="S201" s="86" t="n"/>
      <c r="T201" s="86" t="n"/>
    </row>
    <row r="202">
      <c r="S202" s="86" t="n"/>
      <c r="T202" s="86" t="n"/>
    </row>
    <row r="203">
      <c r="S203" s="86" t="n"/>
      <c r="T203" s="86" t="n"/>
    </row>
    <row r="204">
      <c r="S204" s="86" t="n"/>
      <c r="T204" s="86" t="n"/>
    </row>
  </sheetData>
  <mergeCells count="2">
    <mergeCell ref="A1:U1"/>
    <mergeCell ref="A2:U2"/>
  </mergeCells>
  <conditionalFormatting sqref="Q5:Q204">
    <cfRule type="containsText" priority="1" operator="containsText" dxfId="0" text="高"/>
    <cfRule type="containsText" priority="2" operator="containsText" dxfId="1" text="中"/>
    <cfRule type="containsText" priority="3" operator="containsText" dxfId="2" text="低"/>
  </conditionalFormatting>
  <dataValidations count="3">
    <dataValidation sqref="D5:D204" showDropDown="0" showInputMessage="0" showErrorMessage="0" allowBlank="0" type="list">
      <formula1>"央企,地方国企,事业单位,民企,外企,初创公司,科研院所,其他"</formula1>
    </dataValidation>
    <dataValidation sqref="E5:E204" showDropDown="0" showInputMessage="0" showErrorMessage="0" allowBlank="0" type="list">
      <formula1>"互联网/软件,游戏,人工智能,新能源,半导体,钢铁冶金,资源与环境,智能制造,通信/运营商,其他"</formula1>
    </dataValidation>
    <dataValidation sqref="Q5:Q204" showDropDown="0" showInputMessage="0" showErrorMessage="0" allowBlank="0" type="list">
      <formula1>"低,中,高,待核验"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04"/>
  <sheetViews>
    <sheetView showGridLines="0" workbookViewId="0">
      <selection activeCell="A1" sqref="A1"/>
    </sheetView>
  </sheetViews>
  <sheetFormatPr baseColWidth="8" defaultRowHeight="15"/>
  <cols>
    <col width="12" customWidth="1" style="81" min="1" max="1"/>
    <col width="12" customWidth="1" style="81" min="2" max="2"/>
    <col width="15" customWidth="1" style="81" min="3" max="3"/>
    <col width="24" customWidth="1" style="81" min="4" max="4"/>
    <col width="22" customWidth="1" style="81" min="5" max="5"/>
    <col width="15" customWidth="1" style="81" min="6" max="6"/>
    <col width="32" customWidth="1" style="81" min="7" max="7"/>
    <col width="28" customWidth="1" style="81" min="8" max="8"/>
    <col width="24" customWidth="1" style="81" min="9" max="9"/>
    <col width="12" customWidth="1" style="81" min="10" max="10"/>
    <col width="22" customWidth="1" style="81" min="11" max="11"/>
    <col width="13" customWidth="1" style="81" min="12" max="12"/>
    <col width="10" customWidth="1" style="81" min="13" max="13"/>
    <col width="28" customWidth="1" style="81" min="14" max="14"/>
    <col width="15" customWidth="1" style="81" min="15" max="15"/>
    <col width="14" customWidth="1" style="81" min="16" max="16"/>
    <col width="14" customWidth="1" style="81" min="17" max="17"/>
    <col width="14" customWidth="1" style="81" min="18" max="18"/>
    <col width="12" customWidth="1" style="81" min="19" max="19"/>
    <col width="14" customWidth="1" style="81" min="20" max="20"/>
    <col width="15" customWidth="1" style="81" min="21" max="21"/>
    <col width="15" customWidth="1" style="81" min="22" max="22"/>
    <col width="15" customWidth="1" style="81" min="23" max="23"/>
    <col width="22" customWidth="1" style="81" min="24" max="24"/>
    <col width="24" customWidth="1" style="81" min="25" max="25"/>
    <col width="15" customWidth="1" style="81" min="26" max="26"/>
    <col width="28" customWidth="1" style="81" min="27" max="27"/>
    <col width="18" customWidth="1" style="81" min="28" max="28"/>
    <col width="34" customWidth="1" style="81" min="29" max="29"/>
  </cols>
  <sheetData>
    <row r="1" ht="34" customHeight="1" s="81">
      <c r="A1" s="7" t="inlineStr">
        <is>
          <t>岗位与投递</t>
        </is>
      </c>
    </row>
    <row r="2" ht="26" customHeight="1" s="81">
      <c r="A2" s="9" t="inlineStr">
        <is>
          <t>一个岗位一行；投递状态按“待投递→已投递→测评/笔试→面试→Offer”持续更新。</t>
        </is>
      </c>
    </row>
    <row r="4" ht="32" customHeight="1" s="81">
      <c r="A4" s="22" t="inlineStr">
        <is>
          <t>岗位编号</t>
        </is>
      </c>
      <c r="B4" s="22" t="inlineStr">
        <is>
          <t>企业编号</t>
        </is>
      </c>
      <c r="C4" s="22" t="inlineStr">
        <is>
          <t>公司简称</t>
        </is>
      </c>
      <c r="D4" s="22" t="inlineStr">
        <is>
          <t>岗位名称</t>
        </is>
      </c>
      <c r="E4" s="22" t="inlineStr">
        <is>
          <t>岗位方向</t>
        </is>
      </c>
      <c r="F4" s="22" t="inlineStr">
        <is>
          <t>工作地点</t>
        </is>
      </c>
      <c r="G4" s="22" t="inlineStr">
        <is>
          <t>职责摘要</t>
        </is>
      </c>
      <c r="H4" s="22" t="inlineStr">
        <is>
          <t>必备技能</t>
        </is>
      </c>
      <c r="I4" s="22" t="inlineStr">
        <is>
          <t>加分技能</t>
        </is>
      </c>
      <c r="J4" s="22" t="inlineStr">
        <is>
          <t>学历要求</t>
        </is>
      </c>
      <c r="K4" s="22" t="inlineStr">
        <is>
          <t>专业要求</t>
        </is>
      </c>
      <c r="L4" s="22" t="inlineStr">
        <is>
          <t>接受跨专业</t>
        </is>
      </c>
      <c r="M4" s="22" t="inlineStr">
        <is>
          <t>招聘人数</t>
        </is>
      </c>
      <c r="N4" s="22" t="inlineStr">
        <is>
          <t>岗位链接</t>
        </is>
      </c>
      <c r="O4" s="22" t="inlineStr">
        <is>
          <t>截止日期</t>
        </is>
      </c>
      <c r="P4" s="22" t="inlineStr">
        <is>
          <t>专业匹配(1-5)</t>
        </is>
      </c>
      <c r="Q4" s="22" t="inlineStr">
        <is>
          <t>技能匹配(1-5)</t>
        </is>
      </c>
      <c r="R4" s="22" t="inlineStr">
        <is>
          <t>兴趣程度(1-5)</t>
        </is>
      </c>
      <c r="S4" s="22" t="inlineStr">
        <is>
          <t>综合优先级</t>
        </is>
      </c>
      <c r="T4" s="22" t="inlineStr">
        <is>
          <t>投递状态</t>
        </is>
      </c>
      <c r="U4" s="22" t="inlineStr">
        <is>
          <t>投递日期</t>
        </is>
      </c>
      <c r="V4" s="22" t="inlineStr">
        <is>
          <t>投递渠道</t>
        </is>
      </c>
      <c r="W4" s="22" t="inlineStr">
        <is>
          <t>简历版本</t>
        </is>
      </c>
      <c r="X4" s="22" t="inlineStr">
        <is>
          <t>内推人/联系方式</t>
        </is>
      </c>
      <c r="Y4" s="22" t="inlineStr">
        <is>
          <t>下一步行动</t>
        </is>
      </c>
      <c r="Z4" s="22" t="inlineStr">
        <is>
          <t>下次跟进日期</t>
        </is>
      </c>
      <c r="AA4" s="22" t="inlineStr">
        <is>
          <t>备注</t>
        </is>
      </c>
      <c r="AB4" s="80" t="inlineStr">
        <is>
          <t>薪资待遇</t>
        </is>
      </c>
      <c r="AC4" s="80" t="inlineStr">
        <is>
          <t>福利待遇</t>
        </is>
      </c>
    </row>
    <row r="5" ht="105" customHeight="1" s="81">
      <c r="A5" s="70" t="inlineStr">
        <is>
          <t>JOB-20260902-001</t>
        </is>
      </c>
      <c r="B5" s="70" t="inlineStr">
        <is>
          <t>COM-001</t>
        </is>
      </c>
      <c r="C5" s="70" t="inlineStr">
        <is>
          <t>日钢集团</t>
        </is>
      </c>
      <c r="D5" s="70" t="inlineStr">
        <is>
          <t>2027届校园招聘（具体岗位待筛选）</t>
        </is>
      </c>
      <c r="E5" s="70" t="inlineStr">
        <is>
          <t>冶金/材料/资源环境</t>
        </is>
      </c>
      <c r="F5" s="70" t="inlineStr">
        <is>
          <t>山东日照（岚山区）</t>
        </is>
      </c>
      <c r="G5" s="70" t="inlineStr">
        <is>
          <t>2027届校园招聘已启动；面向具体专业的岗位清单需通过招聘入口或公众号进一步确认</t>
        </is>
      </c>
      <c r="H5" s="70" t="inlineStr">
        <is>
          <t>岗位要求待核验，建议重点查找冶金、材料、环保、能源动力、智能制造、数据分析及AI应用相关职位</t>
        </is>
      </c>
      <c r="I5" s="70" t="inlineStr">
        <is>
          <t>有冶金科研、工业数据分析、固废资源化、AI工具应用经历可能形成差异化优势</t>
        </is>
      </c>
      <c r="J5" s="70" t="inlineStr">
        <is>
          <t>待核验</t>
        </is>
      </c>
      <c r="K5" s="70" t="inlineStr">
        <is>
          <t>待核验</t>
        </is>
      </c>
      <c r="L5" s="70" t="inlineStr">
        <is>
          <t>待确认</t>
        </is>
      </c>
      <c r="M5" s="70" t="n"/>
      <c r="N5" s="70" t="inlineStr">
        <is>
          <t>https://www.rizhaosteel.com/scbm1/index.htm</t>
        </is>
      </c>
      <c r="O5" s="83" t="n"/>
      <c r="P5" s="70" t="n">
        <v>5</v>
      </c>
      <c r="Q5" s="70" t="n">
        <v>4</v>
      </c>
      <c r="R5" s="70" t="n">
        <v>4</v>
      </c>
      <c r="S5" s="70" t="inlineStr">
        <is>
          <t>A</t>
        </is>
      </c>
      <c r="T5" s="70" t="inlineStr">
        <is>
          <t>待收集</t>
        </is>
      </c>
      <c r="U5" s="83" t="n"/>
      <c r="V5" s="70" t="inlineStr">
        <is>
          <t>公司官网</t>
        </is>
      </c>
      <c r="W5" s="70" t="inlineStr">
        <is>
          <t>工业AI/冶金版简历</t>
        </is>
      </c>
      <c r="X5" s="70" t="inlineStr">
        <is>
          <t>68558@rizhaosteel.com｜0633-6188005</t>
        </is>
      </c>
      <c r="Y5" s="70" t="inlineStr">
        <is>
          <t>打开官方招聘入口或公众号，确认岗位清单、学历专业、薪资、倒班和截止日期</t>
        </is>
      </c>
      <c r="Z5" s="83" t="n">
        <v>46267</v>
      </c>
      <c r="AA5" s="70" t="inlineStr">
        <is>
          <t>日钢官网披露正推进人工智能+钢铁制造、全流程智能工厂和碳管理平台；建议优先寻找技术研发、环保能源、智能制造或数据岗位。</t>
        </is>
      </c>
      <c r="AB5" s="72" t="inlineStr">
        <is>
          <t>未披露（待核验）</t>
        </is>
      </c>
      <c r="AC5" s="72" t="inlineStr">
        <is>
          <t>未披露（待核验）；需确认五险一金、住宿餐补、奖金和倒班补贴</t>
        </is>
      </c>
    </row>
    <row r="6" ht="105" customHeight="1" s="81">
      <c r="A6" s="72" t="inlineStr">
        <is>
          <t>JOB-20260902-002</t>
        </is>
      </c>
      <c r="B6" s="72" t="inlineStr">
        <is>
          <t>COM-002</t>
        </is>
      </c>
      <c r="C6" s="72" t="inlineStr">
        <is>
          <t>安徽普朗膜</t>
        </is>
      </c>
      <c r="D6" s="72" t="inlineStr">
        <is>
          <t>研发工程师</t>
        </is>
      </c>
      <c r="E6" s="72" t="inlineStr">
        <is>
          <t>工业AI/智能制造</t>
        </is>
      </c>
      <c r="F6" s="72" t="inlineStr">
        <is>
          <t>安徽合肥</t>
        </is>
      </c>
      <c r="G6" s="72" t="inlineStr">
        <is>
          <t>分离膜新产品配方与工艺开发；项目可行性评估、立项申报和方案执行；跟踪膜材料与制备工艺；专利挖掘与撰写</t>
        </is>
      </c>
      <c r="H6" s="72" t="inlineStr">
        <is>
          <t>硕士及以上；高分子、材料、化学、化工、环境等专业；非高分子专业需有高分子/膜制备储备；接受优秀应届生</t>
        </is>
      </c>
      <c r="I6" s="72" t="inlineStr">
        <is>
          <t>分离膜研发经验、跨学科思维、AI大模型辅助研发、聚合物加工改性、知识产权布局</t>
        </is>
      </c>
      <c r="J6" s="72" t="inlineStr">
        <is>
          <t>硕士及以上</t>
        </is>
      </c>
      <c r="K6" s="72" t="inlineStr">
        <is>
          <t>高分子/材料/化学/化工/环境等</t>
        </is>
      </c>
      <c r="L6" s="72" t="inlineStr">
        <is>
          <t>是</t>
        </is>
      </c>
      <c r="M6" s="72" t="n">
        <v>2</v>
      </c>
      <c r="N6" s="72" t="inlineStr">
        <is>
          <t>https://www.membranes.com.cn/xingyedongtai/xiehuidongtai/2026-04-07/49611.html</t>
        </is>
      </c>
      <c r="O6" s="85" t="n"/>
      <c r="P6" s="72" t="n">
        <v>4</v>
      </c>
      <c r="Q6" s="72" t="n">
        <v>4</v>
      </c>
      <c r="R6" s="72" t="n">
        <v>4</v>
      </c>
      <c r="S6" s="72" t="inlineStr">
        <is>
          <t>A</t>
        </is>
      </c>
      <c r="T6" s="72" t="inlineStr">
        <is>
          <t>待投递</t>
        </is>
      </c>
      <c r="U6" s="85" t="n"/>
      <c r="V6" s="72" t="inlineStr">
        <is>
          <t>其他</t>
        </is>
      </c>
      <c r="W6" s="72" t="inlineStr">
        <is>
          <t>工业AI/科研版简历</t>
        </is>
      </c>
      <c r="X6" s="72" t="inlineStr">
        <is>
          <t>张主管0551-62586158、15905513515；3453408259@qq.com；截图联系人张女士13866778448（微信同号）</t>
        </is>
      </c>
      <c r="Y6" s="72" t="inlineStr">
        <is>
          <t>核验招聘是否仍开放；针对膜材料、工业废水、AI辅助科研和专利能力修改简历后投递</t>
        </is>
      </c>
      <c r="Z6" s="85" t="n">
        <v>46267</v>
      </c>
      <c r="AA6" s="72" t="inlineStr">
        <is>
          <t>公开招聘薪资9000—12000元/月；福利含五险一金、包吃包住、交通/通讯补贴、定期体检、节日福利、周末双休、年终奖。截止日期待核验。</t>
        </is>
      </c>
      <c r="AB6" s="72" t="inlineStr">
        <is>
          <t>9000—12000元/月</t>
        </is>
      </c>
      <c r="AC6" s="72" t="inlineStr">
        <is>
          <t>五险一金、包吃包住、交通/通讯补贴、定期体检、节日福利、周末双休、年终奖</t>
        </is>
      </c>
    </row>
    <row r="7" ht="105" customHeight="1" s="81">
      <c r="A7" s="72" t="inlineStr">
        <is>
          <t>JOB-20260902-003</t>
        </is>
      </c>
      <c r="B7" s="72" t="inlineStr">
        <is>
          <t>COM-002</t>
        </is>
      </c>
      <c r="C7" s="72" t="inlineStr">
        <is>
          <t>安徽普朗膜</t>
        </is>
      </c>
      <c r="D7" s="72" t="inlineStr">
        <is>
          <t>化工工程师</t>
        </is>
      </c>
      <c r="E7" s="72" t="inlineStr">
        <is>
          <t>冶金/材料/资源环境</t>
        </is>
      </c>
      <c r="F7" s="72" t="inlineStr">
        <is>
          <t>安徽合肥</t>
        </is>
      </c>
      <c r="G7" s="72" t="inlineStr">
        <is>
          <t>膜系统设备安装筹备、安装调试协调、工程工艺优化、培训操作人员及现场问题处理</t>
        </is>
      </c>
      <c r="H7" s="72" t="inlineStr">
        <is>
          <t>本科及以上；化工工艺、化工设备、机械工程等相关专业；接受优秀应届生；需要适应出差</t>
        </is>
      </c>
      <c r="I7" s="72" t="inlineStr">
        <is>
          <t>膜技术经历、实验设备操作、膜元件和膜系统性能知识、工程现场协调能力</t>
        </is>
      </c>
      <c r="J7" s="72" t="inlineStr">
        <is>
          <t>本科及以上</t>
        </is>
      </c>
      <c r="K7" s="72" t="inlineStr">
        <is>
          <t>化工工艺/化工设备/机械工程等</t>
        </is>
      </c>
      <c r="L7" s="72" t="inlineStr">
        <is>
          <t>是</t>
        </is>
      </c>
      <c r="M7" s="72" t="n">
        <v>2</v>
      </c>
      <c r="N7" s="72" t="inlineStr">
        <is>
          <t>https://www.membranes.com.cn/xingyedongtai/xiehuidongtai/2026-04-07/49611.html</t>
        </is>
      </c>
      <c r="O7" s="85" t="n"/>
      <c r="P7" s="72" t="n">
        <v>3</v>
      </c>
      <c r="Q7" s="72" t="n">
        <v>3</v>
      </c>
      <c r="R7" s="72" t="n">
        <v>3</v>
      </c>
      <c r="S7" s="72" t="inlineStr">
        <is>
          <t>B</t>
        </is>
      </c>
      <c r="T7" s="72" t="inlineStr">
        <is>
          <t>待投递</t>
        </is>
      </c>
      <c r="U7" s="85" t="n"/>
      <c r="V7" s="72" t="inlineStr">
        <is>
          <t>其他</t>
        </is>
      </c>
      <c r="W7" s="72" t="inlineStr">
        <is>
          <t>专业技术版简历</t>
        </is>
      </c>
      <c r="X7" s="72" t="inlineStr">
        <is>
          <t>张主管0551-62586158、15905513515；3453408259@qq.com</t>
        </is>
      </c>
      <c r="Y7" s="72" t="inlineStr">
        <is>
          <t>确认资源与环境（冶金方向）能否报考、出差频率和项目地点，再决定投递</t>
        </is>
      </c>
      <c r="Z7" s="85" t="n">
        <v>46267</v>
      </c>
      <c r="AA7" s="72" t="inlineStr">
        <is>
          <t>公开招聘薪资6000—8000元/月；福利参照同一招聘公告。岗位与专业并非完全对口，投递前先电话确认。</t>
        </is>
      </c>
      <c r="AB7" s="72" t="inlineStr">
        <is>
          <t>6000—8000元/月</t>
        </is>
      </c>
      <c r="AC7" s="72" t="inlineStr">
        <is>
          <t>五险一金、包吃包住、交通/通讯补贴、定期体检、节日福利、周末双休、年终奖</t>
        </is>
      </c>
    </row>
    <row r="8" ht="105" customHeight="1" s="81">
      <c r="A8" s="72" t="inlineStr">
        <is>
          <t>JOB-20260902-004</t>
        </is>
      </c>
      <c r="B8" s="72" t="inlineStr">
        <is>
          <t>COM-002</t>
        </is>
      </c>
      <c r="C8" s="72" t="inlineStr">
        <is>
          <t>安徽普朗膜</t>
        </is>
      </c>
      <c r="D8" s="72" t="inlineStr">
        <is>
          <t>企宣专员</t>
        </is>
      </c>
      <c r="E8" s="72" t="inlineStr">
        <is>
          <t>其他保底岗位</t>
        </is>
      </c>
      <c r="F8" s="72" t="inlineStr">
        <is>
          <t>安徽合肥</t>
        </is>
      </c>
      <c r="G8" s="72" t="inlineStr">
        <is>
          <t>公众号与视频号内容策划、文案和运营；宣传册/海报设计修改；短视频拍摄剪辑；官网新闻维护</t>
        </is>
      </c>
      <c r="H8" s="72" t="inlineStr">
        <is>
          <t>大专及以上；广告、新闻、传播、中文等专业；熟悉公众号/视频号；文案、基础平面设计及视频剪辑</t>
        </is>
      </c>
      <c r="I8" s="72" t="inlineStr">
        <is>
          <t>PS/AI/ID、剪映/PR、拍摄、新媒体运营经验；接受优秀应届生</t>
        </is>
      </c>
      <c r="J8" s="72" t="inlineStr">
        <is>
          <t>大专及以上</t>
        </is>
      </c>
      <c r="K8" s="72" t="inlineStr">
        <is>
          <t>广告/新闻/传播/中文等</t>
        </is>
      </c>
      <c r="L8" s="72" t="inlineStr">
        <is>
          <t>是</t>
        </is>
      </c>
      <c r="M8" s="72" t="n">
        <v>1</v>
      </c>
      <c r="N8" s="72" t="inlineStr">
        <is>
          <t>https://www.membranes.com.cn/xingyedongtai/xiehuidongtai/2026-04-07/49611.html</t>
        </is>
      </c>
      <c r="O8" s="85" t="n"/>
      <c r="P8" s="72" t="n">
        <v>1</v>
      </c>
      <c r="Q8" s="72" t="n">
        <v>3</v>
      </c>
      <c r="R8" s="72" t="n">
        <v>2</v>
      </c>
      <c r="S8" s="72" t="inlineStr">
        <is>
          <t>C</t>
        </is>
      </c>
      <c r="T8" s="72" t="inlineStr">
        <is>
          <t>待投递</t>
        </is>
      </c>
      <c r="U8" s="85" t="n"/>
      <c r="V8" s="72" t="inlineStr">
        <is>
          <t>其他</t>
        </is>
      </c>
      <c r="W8" s="72" t="inlineStr">
        <is>
          <t>设计/项目版简历</t>
        </is>
      </c>
      <c r="X8" s="72" t="inlineStr">
        <is>
          <t>张主管0551-62586158、15905513515；3453408259@qq.com</t>
        </is>
      </c>
      <c r="Y8" s="72" t="inlineStr">
        <is>
          <t>仅作为备选：确认是否接受非相关专业，以及Illustrator、游戏项目和内容策划经历能否替代专业要求</t>
        </is>
      </c>
      <c r="Z8" s="85" t="n">
        <v>46267</v>
      </c>
      <c r="AA8" s="72" t="inlineStr">
        <is>
          <t>公开招聘薪资5000—7000元/月；你的Illustrator和游戏策划经历有部分匹配，但专业匹配度较低。</t>
        </is>
      </c>
      <c r="AB8" s="72" t="inlineStr">
        <is>
          <t>5000—7000元/月</t>
        </is>
      </c>
      <c r="AC8" s="72" t="inlineStr">
        <is>
          <t>五险一金、包吃包住、交通/通讯补贴、定期体检、节日福利、周末双休、年终奖</t>
        </is>
      </c>
    </row>
    <row r="9" ht="105" customHeight="1" s="81">
      <c r="A9" s="72" t="inlineStr">
        <is>
          <t>JOB-20260902-005</t>
        </is>
      </c>
      <c r="B9" s="72" t="inlineStr">
        <is>
          <t>COM-003</t>
        </is>
      </c>
      <c r="C9" s="72" t="inlineStr">
        <is>
          <t>中国联通安庆分公司</t>
        </is>
      </c>
      <c r="D9" s="72" t="inlineStr">
        <is>
          <t>网络工程师</t>
        </is>
      </c>
      <c r="E9" s="72" t="inlineStr">
        <is>
          <t>通信网络/算网</t>
        </is>
      </c>
      <c r="F9" s="72" t="inlineStr">
        <is>
          <t>安徽安庆</t>
        </is>
      </c>
      <c r="G9" s="72" t="inlineStr">
        <is>
          <t>负责网络日常维护；研究、测试和应用网络技术、产品与工具；响应网络需求并完成业务部署；组织演练和预案，参与应急响应、维护指标及工单管理</t>
        </is>
      </c>
      <c r="H9" s="72" t="inlineStr">
        <is>
          <t>本科及以上；通信工程、计算机、自动化、电子信息等相关专业；具备通信网络基础、故障分析和协作执行能力</t>
        </is>
      </c>
      <c r="I9" s="72" t="inlineStr">
        <is>
          <t>Python/数据分析、网络自动化、云网融合、AI辅助运维、项目或竞赛经历</t>
        </is>
      </c>
      <c r="J9" s="72" t="inlineStr">
        <is>
          <t>本科及以上</t>
        </is>
      </c>
      <c r="K9" s="72" t="inlineStr">
        <is>
          <t>通信工程/计算机/自动化/电子信息</t>
        </is>
      </c>
      <c r="L9" s="72" t="inlineStr">
        <is>
          <t>待确认</t>
        </is>
      </c>
      <c r="M9" s="72" t="n"/>
      <c r="N9" s="72" t="inlineStr">
        <is>
          <t>https://webapp.zhaopin.com/2026/hd/zglhw0814ZL82493/scjobs/index.html</t>
        </is>
      </c>
      <c r="O9" s="85" t="n"/>
      <c r="P9" s="72" t="n">
        <v>5</v>
      </c>
      <c r="Q9" s="72" t="n">
        <v>4</v>
      </c>
      <c r="R9" s="72" t="n">
        <v>4</v>
      </c>
      <c r="S9" s="72" t="inlineStr">
        <is>
          <t>A</t>
        </is>
      </c>
      <c r="T9" s="72" t="inlineStr">
        <is>
          <t>待投递</t>
        </is>
      </c>
      <c r="U9" s="85" t="n"/>
      <c r="V9" s="72" t="inlineStr">
        <is>
          <t>其他</t>
        </is>
      </c>
      <c r="W9" s="72" t="inlineStr">
        <is>
          <t>通信/AI综合版简历</t>
        </is>
      </c>
      <c r="X9" s="72" t="inlineStr">
        <is>
          <t>中国联通2027校园招聘官网（安庆分公司岗位页）</t>
        </is>
      </c>
      <c r="Y9" s="72" t="inlineStr">
        <is>
          <t>进入官方网申核验安庆岗位编码、区县安排和截止日期；突出通信工程本科、数据分析和AI工具能力后投递</t>
        </is>
      </c>
      <c r="Z9" s="85" t="n">
        <v>46267</v>
      </c>
      <c r="AA9" s="72" t="inlineStr">
        <is>
          <t>网络岗位与通信工程本科高度匹配。需重点确认值班/应急频率、工作地点、培养轮岗、薪资及六险二金缴纳口径。</t>
        </is>
      </c>
      <c r="AB9" s="72" t="inlineStr">
        <is>
          <t>未披露（待核验）</t>
        </is>
      </c>
      <c r="AC9" s="72" t="inlineStr">
        <is>
          <t>基本工资+绩效奖金；六险二金；餐饮、交通、通信、采暖等补贴；住房保障；体检、意外险、补充医疗、重疾保障及工会福利</t>
        </is>
      </c>
    </row>
    <row r="10" ht="105" customHeight="1" s="81">
      <c r="A10" s="72" t="inlineStr">
        <is>
          <t>JOB-20260902-006</t>
        </is>
      </c>
      <c r="B10" s="72" t="inlineStr">
        <is>
          <t>COM-003</t>
        </is>
      </c>
      <c r="C10" s="72" t="inlineStr">
        <is>
          <t>中国联通安庆分公司</t>
        </is>
      </c>
      <c r="D10" s="72" t="inlineStr">
        <is>
          <t>解决方案工程师</t>
        </is>
      </c>
      <c r="E10" s="72" t="inlineStr">
        <is>
          <t>通信网络/算网</t>
        </is>
      </c>
      <c r="F10" s="72" t="inlineStr">
        <is>
          <t>安徽安庆</t>
        </is>
      </c>
      <c r="G10" s="72" t="inlineStr">
        <is>
          <t>收集并分析商机；完成解决方案设计和投标文件；为物联网、云计算、大数据及ICT项目提供技术支持；协调项目实施并解决技术问题，排查处理故障</t>
        </is>
      </c>
      <c r="H10" s="72" t="inlineStr">
        <is>
          <t>本科及以上；计算机、电子信息等相关专业；具备需求分析、方案撰写、技术沟通和项目协同能力</t>
        </is>
      </c>
      <c r="I10" s="72" t="inlineStr">
        <is>
          <t>通信工程背景、Python/数据分析、AI Agent或大模型应用、云计算/物联网、演示汇报和招投标文档能力</t>
        </is>
      </c>
      <c r="J10" s="72" t="inlineStr">
        <is>
          <t>本科及以上</t>
        </is>
      </c>
      <c r="K10" s="72" t="inlineStr">
        <is>
          <t>计算机/电子信息等</t>
        </is>
      </c>
      <c r="L10" s="72" t="inlineStr">
        <is>
          <t>待确认</t>
        </is>
      </c>
      <c r="M10" s="72" t="n"/>
      <c r="N10" s="72" t="inlineStr">
        <is>
          <t>https://webapp.zhaopin.com/2026/hd/zglhw0814ZL82493/scjobs/index.html</t>
        </is>
      </c>
      <c r="O10" s="85" t="n"/>
      <c r="P10" s="72" t="n">
        <v>5</v>
      </c>
      <c r="Q10" s="72" t="n">
        <v>4</v>
      </c>
      <c r="R10" s="72" t="n">
        <v>5</v>
      </c>
      <c r="S10" s="72" t="inlineStr">
        <is>
          <t>S</t>
        </is>
      </c>
      <c r="T10" s="72" t="inlineStr">
        <is>
          <t>待投递</t>
        </is>
      </c>
      <c r="U10" s="85" t="n"/>
      <c r="V10" s="72" t="inlineStr">
        <is>
          <t>其他</t>
        </is>
      </c>
      <c r="W10" s="72" t="inlineStr">
        <is>
          <t>通信/AI综合版简历</t>
        </is>
      </c>
      <c r="X10" s="72" t="inlineStr">
        <is>
          <t>中国联通2027校园招聘官网（安庆分公司岗位页）</t>
        </is>
      </c>
      <c r="Y10" s="72" t="inlineStr">
        <is>
          <t>优先投递；简历突出通信工程、科研数据处理、AI Agent实践和跨部门项目表达，并准备一个面向工业客户的AI+通信解决方案案例</t>
        </is>
      </c>
      <c r="Z10" s="85" t="n">
        <v>46267</v>
      </c>
      <c r="AA10" s="72" t="inlineStr">
        <is>
          <t>最符合“通信+AI/数据”复合求职方向。需确认岗位偏售前还是交付、出差频率、业绩指标、工作区域和技术成长路径。</t>
        </is>
      </c>
      <c r="AB10" s="72" t="inlineStr">
        <is>
          <t>未披露（待核验）</t>
        </is>
      </c>
      <c r="AC10" s="72" t="inlineStr">
        <is>
          <t>基本工资+绩效奖金；六险二金；餐饮、交通、通信、采暖等补贴；住房保障；体检、意外险、补充医疗、重疾保障及工会福利</t>
        </is>
      </c>
    </row>
    <row r="11" ht="105" customHeight="1" s="81">
      <c r="A11" s="72" t="inlineStr">
        <is>
          <t>JOB-20260902-007</t>
        </is>
      </c>
      <c r="B11" s="72" t="inlineStr">
        <is>
          <t>COM-003</t>
        </is>
      </c>
      <c r="C11" s="72" t="inlineStr">
        <is>
          <t>中国联通安庆分公司</t>
        </is>
      </c>
      <c r="D11" s="72" t="inlineStr">
        <is>
          <t>市场运营经理</t>
        </is>
      </c>
      <c r="E11" s="72" t="inlineStr">
        <is>
          <t>数据分析/数据开发</t>
        </is>
      </c>
      <c r="F11" s="72" t="inlineStr">
        <is>
          <t>安徽安庆</t>
        </is>
      </c>
      <c r="G11" s="72" t="inlineStr">
        <is>
          <t>开展市场调研与洞察，制定营销策略和活动方案，推动活动执行；负责渠道管理优化，并持续跟踪运营数据和复盘营销效果</t>
        </is>
      </c>
      <c r="H11" s="72" t="inlineStr">
        <is>
          <t>本科及以上；计算机、电子信息、市场营销等相关专业；具备数据意识、沟通协调、方案策划和执行能力</t>
        </is>
      </c>
      <c r="I11" s="72" t="inlineStr">
        <is>
          <t>Excel/Python数据分析、用户运营、可视化、AI辅助内容与策略分析、活动策划经历</t>
        </is>
      </c>
      <c r="J11" s="72" t="inlineStr">
        <is>
          <t>本科及以上</t>
        </is>
      </c>
      <c r="K11" s="72" t="inlineStr">
        <is>
          <t>计算机/电子信息/市场营销</t>
        </is>
      </c>
      <c r="L11" s="72" t="inlineStr">
        <is>
          <t>待确认</t>
        </is>
      </c>
      <c r="M11" s="72" t="n"/>
      <c r="N11" s="72" t="inlineStr">
        <is>
          <t>https://webapp.zhaopin.com/2026/hd/zglhw0814ZL82493/scjobs/index.html</t>
        </is>
      </c>
      <c r="O11" s="85" t="n"/>
      <c r="P11" s="72" t="n">
        <v>3</v>
      </c>
      <c r="Q11" s="72" t="n">
        <v>3</v>
      </c>
      <c r="R11" s="72" t="n">
        <v>3</v>
      </c>
      <c r="S11" s="72" t="inlineStr">
        <is>
          <t>B</t>
        </is>
      </c>
      <c r="T11" s="72" t="inlineStr">
        <is>
          <t>待投递</t>
        </is>
      </c>
      <c r="U11" s="85" t="n"/>
      <c r="V11" s="72" t="inlineStr">
        <is>
          <t>其他</t>
        </is>
      </c>
      <c r="W11" s="72" t="inlineStr">
        <is>
          <t>数据分析/运营版简历</t>
        </is>
      </c>
      <c r="X11" s="72" t="inlineStr">
        <is>
          <t>中国联通2027校园招聘官网（安庆分公司岗位页）</t>
        </is>
      </c>
      <c r="Y11" s="72" t="inlineStr">
        <is>
          <t>核验是否接受通信工程背景；若投递，突出数据分析、用户需求洞察、游戏策划和项目协作能力</t>
        </is>
      </c>
      <c r="Z11" s="85" t="n">
        <v>46267</v>
      </c>
      <c r="AA11" s="72" t="inlineStr">
        <is>
          <t>可作为数据运营方向备选，但可能偏营销和业绩目标。需确认客户类型、渠道拓展占比、考核指标、薪资结构和区县轮岗安排。</t>
        </is>
      </c>
      <c r="AB11" s="72" t="inlineStr">
        <is>
          <t>未披露（待核验）</t>
        </is>
      </c>
      <c r="AC11" s="72" t="inlineStr">
        <is>
          <t>基本工资+绩效奖金；六险二金；餐饮、交通、通信、采暖等补贴；住房保障；体检、意外险、补充医疗、重疾保障及工会福利</t>
        </is>
      </c>
    </row>
    <row r="12">
      <c r="A12" s="72" t="inlineStr">
        <is>
          <t>JOB-20260904-008</t>
        </is>
      </c>
      <c r="B12" s="72" t="inlineStr">
        <is>
          <t>COM-004</t>
        </is>
      </c>
      <c r="C12" s="72" t="inlineStr">
        <is>
          <t>艾罗能源</t>
        </is>
      </c>
      <c r="D12" s="72" t="inlineStr">
        <is>
          <t>AI算法工程师</t>
        </is>
      </c>
      <c r="E12" s="72" t="inlineStr">
        <is>
          <t>AI Agent/大模型应用</t>
        </is>
      </c>
      <c r="F12" s="72" t="inlineStr">
        <is>
          <t>杭州</t>
        </is>
      </c>
      <c r="G12" s="72" t="inlineStr">
        <is>
          <t>负责光伏储能产品相关AI算法研发，包括智能控制、预测优化、故障诊断等方向；参与AI模型设计、训练与部署</t>
        </is>
      </c>
      <c r="H12" s="72" t="inlineStr">
        <is>
          <t>硕士及以上；计算机、自动化、电子信息、数学等相关专业；具备扎实的算法与数学基础；熟练掌握Python</t>
        </is>
      </c>
      <c r="I12" s="72" t="inlineStr">
        <is>
          <t>AI Agent工具使用经验、工业场景AI应用、数据分析与可视化、能源行业背景</t>
        </is>
      </c>
      <c r="J12" s="72" t="inlineStr">
        <is>
          <t>硕士及以上</t>
        </is>
      </c>
      <c r="K12" s="72" t="inlineStr">
        <is>
          <t>计算机/自动化/电子信息/数学等</t>
        </is>
      </c>
      <c r="L12" s="72" t="inlineStr">
        <is>
          <t>待确认</t>
        </is>
      </c>
      <c r="M12" s="72" t="inlineStr"/>
      <c r="N12" s="72" t="inlineStr">
        <is>
          <t>https://campus.solaxpower.com/</t>
        </is>
      </c>
      <c r="O12" s="85" t="inlineStr">
        <is>
          <t>2026-10-26</t>
        </is>
      </c>
      <c r="P12" s="72" t="n">
        <v>3</v>
      </c>
      <c r="Q12" s="72" t="n">
        <v>4</v>
      </c>
      <c r="R12" s="72" t="n">
        <v>4</v>
      </c>
      <c r="S12" s="72" t="inlineStr">
        <is>
          <t>A</t>
        </is>
      </c>
      <c r="T12" s="72" t="inlineStr">
        <is>
          <t>待投递</t>
        </is>
      </c>
      <c r="U12" s="85" t="inlineStr"/>
      <c r="V12" s="72" t="inlineStr">
        <is>
          <t>公司官网</t>
        </is>
      </c>
      <c r="W12" s="72" t="inlineStr">
        <is>
          <t>AI/数据分析版简历</t>
        </is>
      </c>
      <c r="X12" s="72" t="inlineStr"/>
      <c r="Y12" s="72" t="inlineStr">
        <is>
          <t>登录艾罗校招官网确认AI算法工程师岗位具体要求和工作地点；突出Python数据分析、AI工具应用和科研数据处理经验</t>
        </is>
      </c>
      <c r="Z12" s="85" t="n">
        <v>46275</v>
      </c>
      <c r="AA12" s="72" t="inlineStr">
        <is>
          <t>新能源+AI交叉方向，硕士薪资15-35万/年。杭州市人才补贴硕士3万+租房补贴3万。合肥有研发基地可关注。</t>
        </is>
      </c>
      <c r="AB12" s="72" t="inlineStr">
        <is>
          <t>硕士15-35万/年（综合）</t>
        </is>
      </c>
      <c r="AC12" s="72" t="inlineStr">
        <is>
          <t>全额五险一金、双休、法定节假日、餐补、带薪年假、杭州市生活补贴硕士3万、租房补贴每年1万可领3年、团建旅游基金</t>
        </is>
      </c>
    </row>
    <row r="13">
      <c r="A13" s="72" t="inlineStr">
        <is>
          <t>JOB-20260904-009</t>
        </is>
      </c>
      <c r="B13" s="72" t="inlineStr">
        <is>
          <t>COM-004</t>
        </is>
      </c>
      <c r="C13" s="72" t="inlineStr">
        <is>
          <t>艾罗能源</t>
        </is>
      </c>
      <c r="D13" s="72" t="inlineStr">
        <is>
          <t>Python/数据开发工程师</t>
        </is>
      </c>
      <c r="E13" s="72" t="inlineStr">
        <is>
          <t>数据分析/数据开发</t>
        </is>
      </c>
      <c r="F13" s="72" t="inlineStr">
        <is>
          <t>杭州</t>
        </is>
      </c>
      <c r="G13" s="72" t="inlineStr">
        <is>
          <t>负责数据平台开发、数据清洗与分析、业务数据可视化；参与智能制造相关数据系统建设</t>
        </is>
      </c>
      <c r="H13" s="72" t="inlineStr">
        <is>
          <t>本科及以上；计算机、数据科学、统计、工业工程等相关专业；熟练掌握Python、SQL；熟悉数据处理和可视化</t>
        </is>
      </c>
      <c r="I13" s="72" t="inlineStr">
        <is>
          <t>Origin数据分析经验、工业场景数据处理、AI工具辅助开发、Excel高级应用</t>
        </is>
      </c>
      <c r="J13" s="72" t="inlineStr">
        <is>
          <t>本科及以上</t>
        </is>
      </c>
      <c r="K13" s="72" t="inlineStr">
        <is>
          <t>计算机/数据科学/统计/工业工程等</t>
        </is>
      </c>
      <c r="L13" s="72" t="inlineStr">
        <is>
          <t>待确认</t>
        </is>
      </c>
      <c r="M13" s="72" t="inlineStr"/>
      <c r="N13" s="72" t="inlineStr">
        <is>
          <t>https://campus.solaxpower.com/</t>
        </is>
      </c>
      <c r="O13" s="85" t="inlineStr">
        <is>
          <t>2026-10-26</t>
        </is>
      </c>
      <c r="P13" s="72" t="n">
        <v>3</v>
      </c>
      <c r="Q13" s="72" t="n">
        <v>5</v>
      </c>
      <c r="R13" s="72" t="n">
        <v>4</v>
      </c>
      <c r="S13" s="72" t="inlineStr">
        <is>
          <t>A</t>
        </is>
      </c>
      <c r="T13" s="72" t="inlineStr">
        <is>
          <t>待投递</t>
        </is>
      </c>
      <c r="U13" s="85" t="inlineStr"/>
      <c r="V13" s="72" t="inlineStr">
        <is>
          <t>公司官网</t>
        </is>
      </c>
      <c r="W13" s="72" t="inlineStr">
        <is>
          <t>数据分析/AI版简历</t>
        </is>
      </c>
      <c r="X13" s="72" t="inlineStr"/>
      <c r="Y13" s="72" t="inlineStr">
        <is>
          <t>确认岗位是否接受资源与环境（冶金方向）硕士跨专业投递；突出科研数据处理（Origin、TG-DSC、XRD）和Python能力</t>
        </is>
      </c>
      <c r="Z13" s="85" t="n">
        <v>46275</v>
      </c>
      <c r="AA13" s="72" t="inlineStr">
        <is>
          <t>与你的科研数据分析经验高度匹配。本科10-25万/年，硕士15-35万/年。建议优先投递。</t>
        </is>
      </c>
      <c r="AB13" s="72" t="inlineStr">
        <is>
          <t>硕士15-35万/年（综合）</t>
        </is>
      </c>
      <c r="AC13" s="72" t="inlineStr">
        <is>
          <t>全额五险一金、双休、法定节假日、餐补、带薪年假、杭州市生活补贴硕士3万、租房补贴每年1万可领3年</t>
        </is>
      </c>
    </row>
    <row r="14">
      <c r="A14" s="72" t="inlineStr">
        <is>
          <t>JOB-20260904-010</t>
        </is>
      </c>
      <c r="B14" s="72" t="inlineStr">
        <is>
          <t>COM-005</t>
        </is>
      </c>
      <c r="C14" s="72" t="inlineStr">
        <is>
          <t>华天科技</t>
        </is>
      </c>
      <c r="D14" s="72" t="inlineStr">
        <is>
          <t>工艺工程师</t>
        </is>
      </c>
      <c r="E14" s="72" t="inlineStr">
        <is>
          <t>新能源/半导体</t>
        </is>
      </c>
      <c r="F14" s="72" t="inlineStr">
        <is>
          <t>南京（浦口）/昆山</t>
        </is>
      </c>
      <c r="G14" s="72" t="inlineStr">
        <is>
          <t>按照工艺文件对流程进行工艺控制，跟踪执行改善问题的措施；新工艺导入、制定工艺SOP；评估产品生产工艺，主导新产品、程序及新设备工艺验证，制订工艺参数标准并文件化</t>
        </is>
      </c>
      <c r="H14" s="72" t="inlineStr">
        <is>
          <t>本科及以上；半导体、封装、电子信息、材料、物理、化学、机电、机械、自动化等理工科专业</t>
        </is>
      </c>
      <c r="I14" s="72" t="inlineStr">
        <is>
          <t>材料表征经验（XRD、SEM-EDS、XRF）、实验设计与数据分析、冶金/材料科研背景</t>
        </is>
      </c>
      <c r="J14" s="72" t="inlineStr">
        <is>
          <t>本科及以上</t>
        </is>
      </c>
      <c r="K14" s="72" t="inlineStr">
        <is>
          <t>材料/物理/化学/电子/机械/自动化等</t>
        </is>
      </c>
      <c r="L14" s="72" t="inlineStr">
        <is>
          <t>是</t>
        </is>
      </c>
      <c r="M14" s="72" t="inlineStr"/>
      <c r="N14" s="72" t="inlineStr">
        <is>
          <t>华天科技招聘公众号</t>
        </is>
      </c>
      <c r="O14" s="85" t="inlineStr"/>
      <c r="P14" s="72" t="n">
        <v>5</v>
      </c>
      <c r="Q14" s="72" t="n">
        <v>4</v>
      </c>
      <c r="R14" s="72" t="n">
        <v>3</v>
      </c>
      <c r="S14" s="72" t="inlineStr">
        <is>
          <t>A</t>
        </is>
      </c>
      <c r="T14" s="72" t="inlineStr">
        <is>
          <t>待投递</t>
        </is>
      </c>
      <c r="U14" s="85" t="inlineStr"/>
      <c r="V14" s="72" t="inlineStr">
        <is>
          <t>公众号</t>
        </is>
      </c>
      <c r="W14" s="72" t="inlineStr">
        <is>
          <t>冶金/材料科研版简历</t>
        </is>
      </c>
      <c r="X14" s="72" t="inlineStr">
        <is>
          <t>扈老师 0512-50353855｜xiaoyou.xu_ks@ht-tech.com</t>
        </is>
      </c>
      <c r="Y14" s="72" t="inlineStr">
        <is>
          <t>联系昆山公司确认2027校招岗位和投递方式；突出材料表征（XRD/SEM-EDS/XRF）和冶金科研背景</t>
        </is>
      </c>
      <c r="Z14" s="85" t="n">
        <v>46273</v>
      </c>
      <c r="AA14" s="72" t="inlineStr">
        <is>
          <t>材料/物理/化学背景与半导体工艺岗高度对口。昆山/南京基地硕士年薪15-18W。试用期可能1-3个月倒班需确认。</t>
        </is>
      </c>
      <c r="AB14" s="72" t="inlineStr">
        <is>
          <t>本科13-15W/年，硕士15-18W/年（昆山/南京）</t>
        </is>
      </c>
      <c r="AC14" s="72" t="inlineStr">
        <is>
          <t>五险一金、年终奖、项目奖金、餐补、职工宿舍（4-6人间）、精装单身公寓、定期体检、节日福利、员工旅游</t>
        </is>
      </c>
    </row>
    <row r="15">
      <c r="A15" s="72" t="inlineStr">
        <is>
          <t>JOB-20260904-011</t>
        </is>
      </c>
      <c r="B15" s="72" t="inlineStr">
        <is>
          <t>COM-005</t>
        </is>
      </c>
      <c r="C15" s="72" t="inlineStr">
        <is>
          <t>华天科技</t>
        </is>
      </c>
      <c r="D15" s="72" t="inlineStr">
        <is>
          <t>测试工程师</t>
        </is>
      </c>
      <c r="E15" s="72" t="inlineStr">
        <is>
          <t>新能源/半导体</t>
        </is>
      </c>
      <c r="F15" s="72" t="inlineStr">
        <is>
          <t>南京（浦口）/昆山</t>
        </is>
      </c>
      <c r="G15" s="72" t="inlineStr">
        <is>
          <t>测试新产品测试程序开发和验证；测试数据分析和收集，测试良率提升；解决生产过程中的异常，配合产线完成产出任务</t>
        </is>
      </c>
      <c r="H15" s="72" t="inlineStr">
        <is>
          <t>本科及以上；电子信息、计算机、自动化、材料、物理等理工科专业；具备数据分析能力</t>
        </is>
      </c>
      <c r="I15" s="72" t="inlineStr">
        <is>
          <t>Python/数据分析经验、实验数据处理、统计学基础、质量控制经验</t>
        </is>
      </c>
      <c r="J15" s="72" t="inlineStr">
        <is>
          <t>本科及以上</t>
        </is>
      </c>
      <c r="K15" s="72" t="inlineStr">
        <is>
          <t>电子信息/计算机/自动化/材料/物理等</t>
        </is>
      </c>
      <c r="L15" s="72" t="inlineStr">
        <is>
          <t>是</t>
        </is>
      </c>
      <c r="M15" s="72" t="inlineStr"/>
      <c r="N15" s="72" t="inlineStr">
        <is>
          <t>华天科技招聘公众号</t>
        </is>
      </c>
      <c r="O15" s="85" t="inlineStr"/>
      <c r="P15" s="72" t="n">
        <v>4</v>
      </c>
      <c r="Q15" s="72" t="n">
        <v>4</v>
      </c>
      <c r="R15" s="72" t="n">
        <v>3</v>
      </c>
      <c r="S15" s="72" t="inlineStr">
        <is>
          <t>B</t>
        </is>
      </c>
      <c r="T15" s="72" t="inlineStr">
        <is>
          <t>待投递</t>
        </is>
      </c>
      <c r="U15" s="85" t="inlineStr"/>
      <c r="V15" s="72" t="inlineStr">
        <is>
          <t>公众号</t>
        </is>
      </c>
      <c r="W15" s="72" t="inlineStr">
        <is>
          <t>数据分析/科研版简历</t>
        </is>
      </c>
      <c r="X15" s="72" t="inlineStr">
        <is>
          <t>扈老师 0512-50353855｜xiaoyou.xu_ks@ht-tech.com</t>
        </is>
      </c>
      <c r="Y15" s="72" t="inlineStr">
        <is>
          <t>确认测试工程师岗位是否涉及编程和数据分析；突出科研数据处理和统计分析能力</t>
        </is>
      </c>
      <c r="Z15" s="85" t="n">
        <v>46275</v>
      </c>
      <c r="AA15" s="72" t="inlineStr">
        <is>
          <t>测试岗涉及数据分析和良率提升，与你的数据处理能力有结合点。薪资同工艺工程师。</t>
        </is>
      </c>
      <c r="AB15" s="72" t="inlineStr">
        <is>
          <t>本科13-15W/年，硕士15-18W/年（昆山/南京）</t>
        </is>
      </c>
      <c r="AC15" s="72" t="inlineStr">
        <is>
          <t>五险一金、年终奖、项目奖金、餐补、职工宿舍、定期体检、节日福利</t>
        </is>
      </c>
    </row>
    <row r="16">
      <c r="A16" s="72" t="inlineStr">
        <is>
          <t>JOB-20260904-012</t>
        </is>
      </c>
      <c r="B16" s="72" t="inlineStr">
        <is>
          <t>COM-005</t>
        </is>
      </c>
      <c r="C16" s="72" t="inlineStr">
        <is>
          <t>华天科技</t>
        </is>
      </c>
      <c r="D16" s="72" t="inlineStr">
        <is>
          <t>自动化软件工程师</t>
        </is>
      </c>
      <c r="E16" s="72" t="inlineStr">
        <is>
          <t>工业AI/智能制造</t>
        </is>
      </c>
      <c r="F16" s="72" t="inlineStr">
        <is>
          <t>南京（浦口）/昆山</t>
        </is>
      </c>
      <c r="G16" s="72" t="inlineStr">
        <is>
          <t>工业自动化软件设计；设备软件开发，B/S、C/S架构开发；熟悉通讯协议、运动控制、数据采集和机器视觉</t>
        </is>
      </c>
      <c r="H16" s="72" t="inlineStr">
        <is>
          <t>本科及以上；工业自动化、自动控制、软件设计或相关专业；熟练使用C#；熟悉SQL/MYSQL/oracle数据库一种</t>
        </is>
      </c>
      <c r="I16" s="72" t="inlineStr">
        <is>
          <t>Python/JavaScript经验、AI工具辅助开发、机器视觉、数据采集与分析</t>
        </is>
      </c>
      <c r="J16" s="72" t="inlineStr">
        <is>
          <t>本科及以上</t>
        </is>
      </c>
      <c r="K16" s="72" t="inlineStr">
        <is>
          <t>工业自动化/自动控制/计算机/软件等</t>
        </is>
      </c>
      <c r="L16" s="72" t="inlineStr">
        <is>
          <t>待确认</t>
        </is>
      </c>
      <c r="M16" s="72" t="inlineStr"/>
      <c r="N16" s="72" t="inlineStr">
        <is>
          <t>华天科技招聘公众号</t>
        </is>
      </c>
      <c r="O16" s="85" t="inlineStr"/>
      <c r="P16" s="72" t="n">
        <v>3</v>
      </c>
      <c r="Q16" s="72" t="n">
        <v>3</v>
      </c>
      <c r="R16" s="72" t="n">
        <v>4</v>
      </c>
      <c r="S16" s="72" t="inlineStr">
        <is>
          <t>B</t>
        </is>
      </c>
      <c r="T16" s="72" t="inlineStr">
        <is>
          <t>待投递</t>
        </is>
      </c>
      <c r="U16" s="85" t="inlineStr"/>
      <c r="V16" s="72" t="inlineStr">
        <is>
          <t>公众号</t>
        </is>
      </c>
      <c r="W16" s="72" t="inlineStr">
        <is>
          <t>AI/编程综合版简历</t>
        </is>
      </c>
      <c r="X16" s="72" t="inlineStr">
        <is>
          <t>扈老师 0512-50353855</t>
        </is>
      </c>
      <c r="Y16" s="72" t="inlineStr">
        <is>
          <t>确认是否接受通信工程本科+冶金硕士跨专业；突出C#/Python基础和AI工具使用经验</t>
        </is>
      </c>
      <c r="Z16" s="85" t="n">
        <v>46277</v>
      </c>
      <c r="AA16" s="72" t="inlineStr">
        <is>
          <t>宝鸡基地软件工程师薪资1.9-2万/月。昆山/南京薪资待确认。需要C#基础，你的编程经验可作为加分项。</t>
        </is>
      </c>
      <c r="AB16" s="72" t="inlineStr">
        <is>
          <t>宝鸡1.9-2万/月；昆山/南京待核验</t>
        </is>
      </c>
      <c r="AC16" s="72" t="inlineStr">
        <is>
          <t>五险一金、年终奖、项目奖金、餐补、职工宿舍</t>
        </is>
      </c>
    </row>
    <row r="17">
      <c r="A17" s="72" t="inlineStr">
        <is>
          <t>JOB-20260904-013</t>
        </is>
      </c>
      <c r="B17" s="72" t="inlineStr">
        <is>
          <t>COM-006</t>
        </is>
      </c>
      <c r="C17" s="72" t="inlineStr">
        <is>
          <t>CVTE视源股份</t>
        </is>
      </c>
      <c r="D17" s="72" t="inlineStr">
        <is>
          <t>数据分析工程师</t>
        </is>
      </c>
      <c r="E17" s="72" t="inlineStr">
        <is>
          <t>数据分析/数据开发</t>
        </is>
      </c>
      <c r="F17" s="72" t="inlineStr">
        <is>
          <t>广州（合肥有产业园）</t>
        </is>
      </c>
      <c r="G17" s="72" t="inlineStr">
        <is>
          <t>面向制造业研/产/供/销/财等业务领域，基于数据仓库与BI体系支撑运营管理、经营分析与管理决策；探索Data+AI能力在经营场景中的落地应用；参与智能问数/AI数据分析等产品的场景设计</t>
        </is>
      </c>
      <c r="H17" s="72" t="inlineStr">
        <is>
          <t>本科及以上；计算机、工业工程、数学、统计、信息管理等相关专业优先；熟练掌握SQL；熟悉Python；了解数据仓库分层与维度建模</t>
        </is>
      </c>
      <c r="I17" s="72" t="inlineStr">
        <is>
          <t>制造业经营分析经历、ChatBI/智能问数实践、RAG/知识库、指标语义层、AI嵌入经营分析场景经验、FineBI/Tableau</t>
        </is>
      </c>
      <c r="J17" s="72" t="inlineStr">
        <is>
          <t>本科及以上</t>
        </is>
      </c>
      <c r="K17" s="72" t="inlineStr">
        <is>
          <t>计算机/工业工程/数学/统计/信息管理等</t>
        </is>
      </c>
      <c r="L17" s="72" t="inlineStr">
        <is>
          <t>是（不限专业）</t>
        </is>
      </c>
      <c r="M17" s="72" t="inlineStr">
        <is>
          <t>100</t>
        </is>
      </c>
      <c r="N17" s="72" t="inlineStr">
        <is>
          <t>https://campus.cvte.com/project/7304f092b3cc11f083a91070fd64d1d0</t>
        </is>
      </c>
      <c r="O17" s="85" t="inlineStr">
        <is>
          <t>2026-11-24</t>
        </is>
      </c>
      <c r="P17" s="72" t="n">
        <v>4</v>
      </c>
      <c r="Q17" s="72" t="n">
        <v>5</v>
      </c>
      <c r="R17" s="72" t="n">
        <v>5</v>
      </c>
      <c r="S17" s="72" t="inlineStr">
        <is>
          <t>S</t>
        </is>
      </c>
      <c r="T17" s="72" t="inlineStr">
        <is>
          <t>待投递</t>
        </is>
      </c>
      <c r="U17" s="85" t="inlineStr"/>
      <c r="V17" s="72" t="inlineStr">
        <is>
          <t>公司官网</t>
        </is>
      </c>
      <c r="W17" s="72" t="inlineStr">
        <is>
          <t>数据分析/AI版简历</t>
        </is>
      </c>
      <c r="X17" s="72" t="inlineStr"/>
      <c r="Y17" s="72" t="inlineStr">
        <is>
          <t>优先投递！简历突出科研数据处理（Origin、TG-DSC、XRD）、Python数据分析、AI工具应用和制造业（冶金/马钢）背景；准备Data+AI场景案例</t>
        </is>
      </c>
      <c r="Z17" s="85" t="n">
        <v>46271</v>
      </c>
      <c r="AA17" s="72" t="inlineStr">
        <is>
          <t>最匹配岗位！不限专业，明确探索Data+AI落地，制造业背景优先。合肥有产业园可关注。薪资10-15K/月。流程含体验实习环节。</t>
        </is>
      </c>
      <c r="AB17" s="72" t="inlineStr">
        <is>
          <t>10000-15000元/月</t>
        </is>
      </c>
      <c r="AC17" s="72" t="inlineStr">
        <is>
          <t>免费星级自助三餐、代租公寓零押金、免费班车、恒温泳池/健身房、每年2次体检（配偶父母1次）、自建医疗中心、绩效奖金、旅游福利</t>
        </is>
      </c>
    </row>
    <row r="18">
      <c r="A18" s="72" t="inlineStr">
        <is>
          <t>JOB-20260904-014</t>
        </is>
      </c>
      <c r="B18" s="72" t="inlineStr">
        <is>
          <t>COM-006</t>
        </is>
      </c>
      <c r="C18" s="72" t="inlineStr">
        <is>
          <t>CVTE视源股份</t>
        </is>
      </c>
      <c r="D18" s="72" t="inlineStr">
        <is>
          <t>应用软件开发工程师（AI Agent方向）</t>
        </is>
      </c>
      <c r="E18" s="72" t="inlineStr">
        <is>
          <t>AI Agent/大模型应用</t>
        </is>
      </c>
      <c r="F18" s="72" t="inlineStr">
        <is>
          <t>广州</t>
        </is>
      </c>
      <c r="G18" s="72" t="inlineStr">
        <is>
          <t>负责应用软件的设计、开发、测试与迭代，运用AI Coding提升研发效率；参与RAG、Agent、多模态或端侧AI应用开发；方向含前端、后台、Android、C++</t>
        </is>
      </c>
      <c r="H18" s="72" t="inlineStr">
        <is>
          <t>本科及以上；扎实的计算机基础（数据结构、算法、操作系统、网络）；掌握至少一门编程语言（C++/Java/Python/JavaScript等）</t>
        </is>
      </c>
      <c r="I18" s="72" t="inlineStr">
        <is>
          <t>AI Coding工具使用经验（Codex/Cursor等）、RAG/Agent项目经验、Python/JavaScript、独立开发项目</t>
        </is>
      </c>
      <c r="J18" s="72" t="inlineStr">
        <is>
          <t>本科及以上</t>
        </is>
      </c>
      <c r="K18" s="72" t="inlineStr">
        <is>
          <t>不限专业</t>
        </is>
      </c>
      <c r="L18" s="72" t="inlineStr">
        <is>
          <t>是（不限专业）</t>
        </is>
      </c>
      <c r="M18" s="72" t="inlineStr">
        <is>
          <t>100</t>
        </is>
      </c>
      <c r="N18" s="72" t="inlineStr">
        <is>
          <t>https://campus.cvte.com/project/7304f092b3cc11f083a91070fd64d1d0</t>
        </is>
      </c>
      <c r="O18" s="85" t="inlineStr">
        <is>
          <t>2026-11-24</t>
        </is>
      </c>
      <c r="P18" s="72" t="n">
        <v>3</v>
      </c>
      <c r="Q18" s="72" t="n">
        <v>4</v>
      </c>
      <c r="R18" s="72" t="n">
        <v>5</v>
      </c>
      <c r="S18" s="72" t="inlineStr">
        <is>
          <t>A</t>
        </is>
      </c>
      <c r="T18" s="72" t="inlineStr">
        <is>
          <t>待投递</t>
        </is>
      </c>
      <c r="U18" s="85" t="inlineStr"/>
      <c r="V18" s="72" t="inlineStr">
        <is>
          <t>公司官网</t>
        </is>
      </c>
      <c r="W18" s="72" t="inlineStr">
        <is>
          <t>AI/编程综合版简历</t>
        </is>
      </c>
      <c r="X18" s="72" t="inlineStr"/>
      <c r="Y18" s="72" t="inlineStr">
        <is>
          <t>突出AI Coding工具（Codex/Cursor/Qoder）使用经验、独立游戏开发项目（Godot/RPG Maker）和Python/JavaScript基础；准备编程面试</t>
        </is>
      </c>
      <c r="Z18" s="85" t="n">
        <v>46273</v>
      </c>
      <c r="AA18" s="72" t="inlineStr">
        <is>
          <t>明确涉及RAG、Agent、多模态AI开发，与你的AI工具使用经验高度契合。不限专业但需计算机基础。薪资13-30K/月。每次限投一个岗位，需在数据分析和软件开发之间选择。</t>
        </is>
      </c>
      <c r="AB18" s="72" t="inlineStr">
        <is>
          <t>13000-30000元/月</t>
        </is>
      </c>
      <c r="AC18" s="72" t="inlineStr">
        <is>
          <t>免费星级自助三餐、代租公寓零押金、免费班车、恒温泳池/健身房、每年2次体检、绩效奖金</t>
        </is>
      </c>
    </row>
    <row r="19">
      <c r="A19" s="72" t="inlineStr">
        <is>
          <t>JOB-20260904-015</t>
        </is>
      </c>
      <c r="B19" s="72" t="inlineStr">
        <is>
          <t>COM-007</t>
        </is>
      </c>
      <c r="C19" s="72" t="inlineStr">
        <is>
          <t>米哈游</t>
        </is>
      </c>
      <c r="D19" s="72" t="inlineStr">
        <is>
          <t>游戏策划（系统/数值方向）</t>
        </is>
      </c>
      <c r="E19" s="72" t="inlineStr">
        <is>
          <t>游戏策划/游戏开发</t>
        </is>
      </c>
      <c r="F19" s="72" t="inlineStr">
        <is>
          <t>上海</t>
        </is>
      </c>
      <c r="G19" s="72" t="inlineStr">
        <is>
          <t>负责游戏系统设计、数值框架搭建、玩法迭代；协调程序、美术推进版本节点；深度体验游戏并持续优化</t>
        </is>
      </c>
      <c r="H19" s="72" t="inlineStr">
        <is>
          <t>本科及以上；热爱游戏，有丰富的游戏体验；具备良好的逻辑思维和数据分析能力；熟练使用Excel进行数值设计</t>
        </is>
      </c>
      <c r="I19" s="72" t="inlineStr">
        <is>
          <t>游戏策划实习经验、独立游戏开发经验（Godot/RPG Maker）、数值框架设计、Python/数据分析、UI/交互设计</t>
        </is>
      </c>
      <c r="J19" s="72" t="inlineStr">
        <is>
          <t>本科及以上</t>
        </is>
      </c>
      <c r="K19" s="72" t="inlineStr">
        <is>
          <t>不限专业</t>
        </is>
      </c>
      <c r="L19" s="72" t="inlineStr">
        <is>
          <t>是</t>
        </is>
      </c>
      <c r="M19" s="72" t="inlineStr"/>
      <c r="N19" s="72" t="inlineStr">
        <is>
          <t>https://campus.mihoyo.com/</t>
        </is>
      </c>
      <c r="O19" s="85" t="inlineStr">
        <is>
          <t>2026-10-31</t>
        </is>
      </c>
      <c r="P19" s="72" t="n">
        <v>2</v>
      </c>
      <c r="Q19" s="72" t="n">
        <v>5</v>
      </c>
      <c r="R19" s="72" t="n">
        <v>5</v>
      </c>
      <c r="S19" s="72" t="inlineStr">
        <is>
          <t>A</t>
        </is>
      </c>
      <c r="T19" s="72" t="inlineStr">
        <is>
          <t>待投递</t>
        </is>
      </c>
      <c r="U19" s="85" t="inlineStr"/>
      <c r="V19" s="72" t="inlineStr">
        <is>
          <t>公司官网</t>
        </is>
      </c>
      <c r="W19" s="72" t="inlineStr">
        <is>
          <t>游戏策划/项目版简历</t>
        </is>
      </c>
      <c r="X19" s="72" t="inlineStr"/>
      <c r="Y19" s="72" t="inlineStr">
        <is>
          <t>准备游戏体验清单和作品集（《顾行舟》Godot项目、《万世赋》策划经历）；突出数值框架设计和跨部门协作经验；9月内完成投递</t>
        </is>
      </c>
      <c r="Z19" s="85" t="n">
        <v>46280</v>
      </c>
      <c r="AA19" s="72" t="inlineStr">
        <is>
          <t>你的游戏策划实习+独立游戏开发经验是核心差异化优势。网申截止10月31日。竞争激烈，建议尽早投递并准备笔试。</t>
        </is>
      </c>
      <c r="AB19" s="72" t="inlineStr">
        <is>
          <t>待核验（游戏行业头部水平）</t>
        </is>
      </c>
      <c r="AC19" s="72" t="inlineStr">
        <is>
          <t>五险一金、补充商业保险、免费三餐、健身房、年度旅游、节日福利、游戏内福利等</t>
        </is>
      </c>
    </row>
    <row r="20">
      <c r="A20" s="72" t="inlineStr">
        <is>
          <t>JOB-20260904-016</t>
        </is>
      </c>
      <c r="B20" s="72" t="inlineStr">
        <is>
          <t>COM-008</t>
        </is>
      </c>
      <c r="C20" s="72" t="inlineStr">
        <is>
          <t>三七互娱</t>
        </is>
      </c>
      <c r="D20" s="72" t="inlineStr">
        <is>
          <t>数值策划</t>
        </is>
      </c>
      <c r="E20" s="72" t="inlineStr">
        <is>
          <t>游戏策划/游戏开发</t>
        </is>
      </c>
      <c r="F20" s="72" t="inlineStr">
        <is>
          <t>广州</t>
        </is>
      </c>
      <c r="G20" s="72" t="inlineStr">
        <is>
          <t>负责游戏数值体系设计与平衡；搭建数值框架、配置数值表；分析玩家数据，持续优化数值体验；联动系统策划和程序推进落地</t>
        </is>
      </c>
      <c r="H20" s="72" t="inlineStr">
        <is>
          <t>本科及以上；热爱游戏，有丰富游戏体验；具备扎实的数学基础和逻辑思维；熟练使用Excel进行数值建模</t>
        </is>
      </c>
      <c r="I20" s="72" t="inlineStr">
        <is>
          <t>数值策划实习经验、独立游戏数值框架设计、Python/数据分析、统计学基础、游戏项目经验</t>
        </is>
      </c>
      <c r="J20" s="72" t="inlineStr">
        <is>
          <t>本科及以上</t>
        </is>
      </c>
      <c r="K20" s="72" t="inlineStr">
        <is>
          <t>不限专业</t>
        </is>
      </c>
      <c r="L20" s="72" t="inlineStr">
        <is>
          <t>是</t>
        </is>
      </c>
      <c r="M20" s="72" t="inlineStr"/>
      <c r="N20" s="72" t="inlineStr">
        <is>
          <t>https://campus.37.com/</t>
        </is>
      </c>
      <c r="O20" s="85" t="inlineStr"/>
      <c r="P20" s="72" t="n">
        <v>2</v>
      </c>
      <c r="Q20" s="72" t="n">
        <v>5</v>
      </c>
      <c r="R20" s="72" t="n">
        <v>4</v>
      </c>
      <c r="S20" s="72" t="inlineStr">
        <is>
          <t>A</t>
        </is>
      </c>
      <c r="T20" s="72" t="inlineStr">
        <is>
          <t>待投递</t>
        </is>
      </c>
      <c r="U20" s="85" t="inlineStr"/>
      <c r="V20" s="72" t="inlineStr">
        <is>
          <t>公司官网</t>
        </is>
      </c>
      <c r="W20" s="72" t="inlineStr">
        <is>
          <t>游戏策划/数值版简历</t>
        </is>
      </c>
      <c r="X20" s="72" t="inlineStr"/>
      <c r="Y20" s="72" t="inlineStr">
        <is>
          <t>突出《万世赋》数值框架设计经验和独立游戏开发中的数值体系；准备数值设计案例和游戏分析报告</t>
        </is>
      </c>
      <c r="Z20" s="85" t="n">
        <v>46277</v>
      </c>
      <c r="AA20" s="72" t="inlineStr">
        <is>
          <t>数值策划与你的数值框架经验和数据分析能力高度匹配。三七互娱明确布局AI游戏赛道，有AI算法/平台开发岗可同步关注。</t>
        </is>
      </c>
      <c r="AB20" s="72" t="inlineStr">
        <is>
          <t>待核验</t>
        </is>
      </c>
      <c r="AC20" s="72" t="inlineStr">
        <is>
          <t>五险一金、年终奖、项目奖金、定期体检、节日福利、团建活动</t>
        </is>
      </c>
    </row>
    <row r="21">
      <c r="A21" s="72" t="inlineStr">
        <is>
          <t>JOB-20260904-017</t>
        </is>
      </c>
      <c r="B21" s="72" t="inlineStr">
        <is>
          <t>COM-008</t>
        </is>
      </c>
      <c r="C21" s="72" t="inlineStr">
        <is>
          <t>三七互娱</t>
        </is>
      </c>
      <c r="D21" s="72" t="inlineStr">
        <is>
          <t>AI算法工程师/AI平台开发工程师</t>
        </is>
      </c>
      <c r="E21" s="72" t="inlineStr">
        <is>
          <t>AI Agent/大模型应用</t>
        </is>
      </c>
      <c r="F21" s="72" t="inlineStr">
        <is>
          <t>广州/上海</t>
        </is>
      </c>
      <c r="G21" s="72" t="inlineStr">
        <is>
          <t>参与AI游戏技术研发；大模型在游戏中的应用开发；AI平台建设与工具链开发；探索AI在游戏研发、运营中的落地场景</t>
        </is>
      </c>
      <c r="H21" s="72" t="inlineStr">
        <is>
          <t>硕士及以上优先；计算机、人工智能、数学等相关专业；熟悉Python、深度学习框架；具备AI项目经验</t>
        </is>
      </c>
      <c r="I21" s="72" t="inlineStr">
        <is>
          <t>AI Agent工具使用经验、游戏行业理解、大模型应用开发、RAG/Agent项目</t>
        </is>
      </c>
      <c r="J21" s="72" t="inlineStr">
        <is>
          <t>本科及以上（硕士优先）</t>
        </is>
      </c>
      <c r="K21" s="72" t="inlineStr">
        <is>
          <t>计算机/人工智能/数学等</t>
        </is>
      </c>
      <c r="L21" s="72" t="inlineStr">
        <is>
          <t>待确认</t>
        </is>
      </c>
      <c r="M21" s="72" t="inlineStr"/>
      <c r="N21" s="72" t="inlineStr">
        <is>
          <t>https://campus.37.com/</t>
        </is>
      </c>
      <c r="O21" s="85" t="inlineStr"/>
      <c r="P21" s="72" t="n">
        <v>2</v>
      </c>
      <c r="Q21" s="72" t="n">
        <v>3</v>
      </c>
      <c r="R21" s="72" t="n">
        <v>4</v>
      </c>
      <c r="S21" s="72" t="inlineStr">
        <is>
          <t>B</t>
        </is>
      </c>
      <c r="T21" s="72" t="inlineStr">
        <is>
          <t>待收集</t>
        </is>
      </c>
      <c r="U21" s="85" t="inlineStr"/>
      <c r="V21" s="72" t="inlineStr">
        <is>
          <t>公司官网</t>
        </is>
      </c>
      <c r="W21" s="72" t="inlineStr">
        <is>
          <t>AI/算法版简历</t>
        </is>
      </c>
      <c r="X21" s="72" t="inlineStr"/>
      <c r="Y21" s="72" t="inlineStr">
        <is>
          <t>确认AI岗位具体要求和是否接受跨专业；作为游戏+AI的交叉方向关注</t>
        </is>
      </c>
      <c r="Z21" s="85" t="n">
        <v>46280</v>
      </c>
      <c r="AA21" s="72" t="inlineStr">
        <is>
          <t>游戏+AI交叉方向，与你的游戏理解和AI工具使用经验有结合点。但核心算法岗对计算机基础要求较高，作为冲刺目标。</t>
        </is>
      </c>
      <c r="AB21" s="72" t="inlineStr">
        <is>
          <t>待核验</t>
        </is>
      </c>
      <c r="AC21" s="72" t="inlineStr">
        <is>
          <t>五险一金、年终奖、项目奖金、定期体检、节日福利</t>
        </is>
      </c>
    </row>
    <row r="22">
      <c r="A22" s="72" t="inlineStr">
        <is>
          <t>JOB-20260904-018</t>
        </is>
      </c>
      <c r="B22" s="72" t="inlineStr">
        <is>
          <t>COM-009</t>
        </is>
      </c>
      <c r="C22" s="72" t="inlineStr">
        <is>
          <t>网易游戏</t>
        </is>
      </c>
      <c r="D22" s="72" t="inlineStr">
        <is>
          <t>游戏策划（雷火事业群）</t>
        </is>
      </c>
      <c r="E22" s="72" t="inlineStr">
        <is>
          <t>游戏策划/游戏开发</t>
        </is>
      </c>
      <c r="F22" s="72" t="inlineStr">
        <is>
          <t>杭州</t>
        </is>
      </c>
      <c r="G22" s="72" t="inlineStr">
        <is>
          <t>参与《逆水寒》《永劫无间》《倩女幽魂》等旗舰游戏的策划工作；负责系统/数值/战斗/关卡等方向设计；协调跨部门推进版本</t>
        </is>
      </c>
      <c r="H22" s="72" t="inlineStr">
        <is>
          <t>本科及以上；热爱游戏，有深度游戏体验；具备良好的逻辑思维、创造力和沟通能力</t>
        </is>
      </c>
      <c r="I22" s="72" t="inlineStr">
        <is>
          <t>游戏策划实习经验、独立游戏开发、数值设计、AI工具应用、UI/交互设计、游戏分析报告</t>
        </is>
      </c>
      <c r="J22" s="72" t="inlineStr">
        <is>
          <t>本科及以上</t>
        </is>
      </c>
      <c r="K22" s="72" t="inlineStr">
        <is>
          <t>不限专业</t>
        </is>
      </c>
      <c r="L22" s="72" t="inlineStr">
        <is>
          <t>是</t>
        </is>
      </c>
      <c r="M22" s="72" t="inlineStr"/>
      <c r="N22" s="72" t="inlineStr">
        <is>
          <t>https://game.campus.163.com/</t>
        </is>
      </c>
      <c r="O22" s="85" t="inlineStr"/>
      <c r="P22" s="72" t="n">
        <v>2</v>
      </c>
      <c r="Q22" s="72" t="n">
        <v>5</v>
      </c>
      <c r="R22" s="72" t="n">
        <v>5</v>
      </c>
      <c r="S22" s="72" t="inlineStr">
        <is>
          <t>A</t>
        </is>
      </c>
      <c r="T22" s="72" t="inlineStr">
        <is>
          <t>待投递</t>
        </is>
      </c>
      <c r="U22" s="85" t="inlineStr"/>
      <c r="V22" s="72" t="inlineStr">
        <is>
          <t>公司官网</t>
        </is>
      </c>
      <c r="W22" s="72" t="inlineStr">
        <is>
          <t>游戏策划/项目版简历</t>
        </is>
      </c>
      <c r="X22" s="72" t="inlineStr"/>
      <c r="Y22" s="72" t="inlineStr">
        <is>
          <t>准备游戏体验清单和作品集；突出游戏策划实习、独立游戏开发和AI工具使用经验；关注雷火事业群AI相关岗位</t>
        </is>
      </c>
      <c r="Z22" s="85" t="n">
        <v>46280</v>
      </c>
      <c r="AA22" s="72" t="inlineStr">
        <is>
          <t>雷火事业群50+岗位，AI在游戏中应用领先（逆水寒AI NPC）。杭州工作地点，与你现居江苏泰州距离适中。竞争激烈需提前准备。</t>
        </is>
      </c>
      <c r="AB22" s="72" t="inlineStr">
        <is>
          <t>待核验（游戏行业头部水平）</t>
        </is>
      </c>
      <c r="AC22" s="72" t="inlineStr">
        <is>
          <t>五险一金、补充商业保险、免费三餐/餐补、健身房、年度旅游、节日福利、游戏内福利</t>
        </is>
      </c>
    </row>
    <row r="23">
      <c r="A23" s="72" t="inlineStr">
        <is>
          <t>JOB-20260904-019</t>
        </is>
      </c>
      <c r="B23" s="72" t="inlineStr">
        <is>
          <t>COM-010</t>
        </is>
      </c>
      <c r="C23" s="72" t="inlineStr">
        <is>
          <t>拼多多</t>
        </is>
      </c>
      <c r="D23" s="72" t="inlineStr">
        <is>
          <t>AI Agent研发工程师</t>
        </is>
      </c>
      <c r="E23" s="72" t="inlineStr">
        <is>
          <t>AI Agent/大模型应用</t>
        </is>
      </c>
      <c r="F23" s="72" t="inlineStr">
        <is>
          <t>上海</t>
        </is>
      </c>
      <c r="G23" s="72" t="inlineStr">
        <is>
          <t>参与AI Agent系统研发；大模型应用开发与优化；Agent框架设计与落地；探索AI在电商场景中的应用</t>
        </is>
      </c>
      <c r="H23" s="72" t="inlineStr">
        <is>
          <t>本科及以上；计算机相关专业优先；扎实的编程基础（Python/C++）；了解大模型和Agent技术</t>
        </is>
      </c>
      <c r="I23" s="72" t="inlineStr">
        <is>
          <t>AI Agent项目经验、大模型应用开发、RAG/Agent框架、Codex/Cursor等AI工具深度使用</t>
        </is>
      </c>
      <c r="J23" s="72" t="inlineStr">
        <is>
          <t>本科及以上</t>
        </is>
      </c>
      <c r="K23" s="72" t="inlineStr">
        <is>
          <t>不限专业</t>
        </is>
      </c>
      <c r="L23" s="72" t="inlineStr">
        <is>
          <t>是（专业不限）</t>
        </is>
      </c>
      <c r="M23" s="72" t="inlineStr">
        <is>
          <t>200</t>
        </is>
      </c>
      <c r="N23" s="72" t="inlineStr">
        <is>
          <t>https://careers.pddglobalhr.com/campus</t>
        </is>
      </c>
      <c r="O23" s="85" t="inlineStr"/>
      <c r="P23" s="72" t="n">
        <v>2</v>
      </c>
      <c r="Q23" s="72" t="n">
        <v>3</v>
      </c>
      <c r="R23" s="72" t="n">
        <v>5</v>
      </c>
      <c r="S23" s="72" t="inlineStr">
        <is>
          <t>B</t>
        </is>
      </c>
      <c r="T23" s="72" t="inlineStr">
        <is>
          <t>待收集</t>
        </is>
      </c>
      <c r="U23" s="85" t="inlineStr"/>
      <c r="V23" s="72" t="inlineStr">
        <is>
          <t>公司官网</t>
        </is>
      </c>
      <c r="W23" s="72" t="inlineStr">
        <is>
          <t>AI/编程综合版简历</t>
        </is>
      </c>
      <c r="X23" s="72" t="inlineStr">
        <is>
          <t>limianyang@pinduoduo.com</t>
        </is>
      </c>
      <c r="Y23" s="72" t="inlineStr">
        <is>
          <t>作为冲刺目标；确认岗位具体技术要求；准备AI Agent项目经验和编程基础；突出多种AI工具深度使用经验</t>
        </is>
      </c>
      <c r="Z23" s="85" t="n">
        <v>46285</v>
      </c>
      <c r="AA23" s="72" t="inlineStr">
        <is>
          <t>2027届提前批已开放，招聘200人，薪资20K+。专业不限但核心研发岗竞争激烈，非科班背景需额外准备编程和算法基础。</t>
        </is>
      </c>
      <c r="AB23" s="72" t="inlineStr">
        <is>
          <t>20000元/月以上</t>
        </is>
      </c>
      <c r="AC23" s="72" t="inlineStr">
        <is>
          <t>五险一金、年终奖、股票期权、餐补、带薪年假、定期体检</t>
        </is>
      </c>
    </row>
    <row r="24">
      <c r="A24" s="72" t="inlineStr">
        <is>
          <t>JOB-20260904-020</t>
        </is>
      </c>
      <c r="B24" s="72" t="inlineStr">
        <is>
          <t>COM-011</t>
        </is>
      </c>
      <c r="C24" s="72" t="inlineStr">
        <is>
          <t>万兴科技</t>
        </is>
      </c>
      <c r="D24" s="72" t="inlineStr">
        <is>
          <t>AI应用开发工程师</t>
        </is>
      </c>
      <c r="E24" s="72" t="inlineStr">
        <is>
          <t>AI Agent/大模型应用</t>
        </is>
      </c>
      <c r="F24" s="72" t="inlineStr">
        <is>
          <t>长沙/深圳/杭州</t>
        </is>
      </c>
      <c r="G24" s="72" t="inlineStr">
        <is>
          <t>参与AI产品的应用开发；大模型API集成与优化；AI功能在创意软件中的落地；Agent应用开发</t>
        </is>
      </c>
      <c r="H24" s="72" t="inlineStr">
        <is>
          <t>本科及以上；计算机相关专业优先；熟悉Python/JavaScript等编程语言；了解大模型应用开发</t>
        </is>
      </c>
      <c r="I24" s="72" t="inlineStr">
        <is>
          <t>AI工具深度使用经验、独立开发项目、前端/后端开发、创意软件使用经验</t>
        </is>
      </c>
      <c r="J24" s="72" t="inlineStr">
        <is>
          <t>本科及以上</t>
        </is>
      </c>
      <c r="K24" s="72" t="inlineStr">
        <is>
          <t>计算机相关专业优先</t>
        </is>
      </c>
      <c r="L24" s="72" t="inlineStr">
        <is>
          <t>待确认</t>
        </is>
      </c>
      <c r="M24" s="72" t="inlineStr"/>
      <c r="N24" s="72" t="inlineStr">
        <is>
          <t>https://career.wondershare.cn/</t>
        </is>
      </c>
      <c r="O24" s="85" t="inlineStr"/>
      <c r="P24" s="72" t="n">
        <v>2</v>
      </c>
      <c r="Q24" s="72" t="n">
        <v>4</v>
      </c>
      <c r="R24" s="72" t="n">
        <v>5</v>
      </c>
      <c r="S24" s="72" t="inlineStr">
        <is>
          <t>B</t>
        </is>
      </c>
      <c r="T24" s="72" t="inlineStr">
        <is>
          <t>待收集</t>
        </is>
      </c>
      <c r="U24" s="85" t="inlineStr"/>
      <c r="V24" s="72" t="inlineStr">
        <is>
          <t>公司官网</t>
        </is>
      </c>
      <c r="W24" s="72" t="inlineStr">
        <is>
          <t>AI/编程综合版简历</t>
        </is>
      </c>
      <c r="X24" s="72" t="inlineStr"/>
      <c r="Y24" s="72" t="inlineStr">
        <is>
          <t>确认AI应用开发岗的具体要求和是否接受跨专业；长沙基地性价比高可重点关注；突出AI工具使用和独立开发经验</t>
        </is>
      </c>
      <c r="Z24" s="85" t="n">
        <v>46283</v>
      </c>
      <c r="AA24" s="72" t="inlineStr">
        <is>
          <t>AI研发岗首年年薪可达100万，应届生平均年薪50万。长沙基地生活成本低。与你的AI工具使用和软件开发兴趣契合，但需确认跨专业接受度。</t>
        </is>
      </c>
      <c r="AB24" s="72" t="inlineStr">
        <is>
          <t>应届生平均年薪50万，研发岗首年高达100万</t>
        </is>
      </c>
      <c r="AC24" s="72" t="inlineStr">
        <is>
          <t>五险一金、年终奖、股票期权、带薪年假、定期体检、节日福利</t>
        </is>
      </c>
    </row>
    <row r="25">
      <c r="A25" s="72" t="inlineStr">
        <is>
          <t>JOB-20260907-021</t>
        </is>
      </c>
      <c r="B25" s="72" t="inlineStr">
        <is>
          <t>COM-012</t>
        </is>
      </c>
      <c r="C25" s="72" t="inlineStr">
        <is>
          <t>深南电路</t>
        </is>
      </c>
      <c r="D25" s="72" t="inlineStr">
        <is>
          <t>设备管理岗-27届秋招</t>
        </is>
      </c>
      <c r="E25" s="72" t="inlineStr">
        <is>
          <t>工业AI/智能制造</t>
        </is>
      </c>
      <c r="F25" s="72" t="inlineStr">
        <is>
          <t>深圳28/广州57/无锡99/南通39/成都26/泰国7（共256人）</t>
        </is>
      </c>
      <c r="G25" s="72" t="inlineStr">
        <is>
          <t>1.负责设备维护保养，研究设备机理并提升现有能力；2.预测设备稳定性，开展预防性维护；3.推进设备运维改善，聚焦DI/LDI光学设备及CCD成像系统研究</t>
        </is>
      </c>
      <c r="H25" s="72" t="inlineStr">
        <is>
          <t>本科及以上；机械工程、机械电子工程、电气工程及其自动化、自动化、电子信息等机械类/电气类/电子信息类专业</t>
        </is>
      </c>
      <c r="I25" s="72" t="inlineStr">
        <is>
          <t>设备智能化改造、工业数据分析、PLC/自动化控制、AI工具应用、光学设备/成像系统经验</t>
        </is>
      </c>
      <c r="J25" s="72" t="inlineStr">
        <is>
          <t>本科及以上</t>
        </is>
      </c>
      <c r="K25" s="72" t="inlineStr">
        <is>
          <t>机械工程/机械电子工程/电气工程及其自动化/自动化/电子信息等</t>
        </is>
      </c>
      <c r="L25" s="72" t="inlineStr">
        <is>
          <t>待确认</t>
        </is>
      </c>
      <c r="M25" s="72" t="n">
        <v>256</v>
      </c>
      <c r="N25" s="72" t="inlineStr">
        <is>
          <t>https://scc.zhiye.com/campus/jobs</t>
        </is>
      </c>
      <c r="O25" s="85" t="inlineStr">
        <is>
          <t>待核验</t>
        </is>
      </c>
      <c r="P25" s="72" t="n">
        <v>4</v>
      </c>
      <c r="Q25" s="72" t="n">
        <v>3</v>
      </c>
      <c r="R25" s="72" t="n">
        <v>3</v>
      </c>
      <c r="S25" s="72" t="inlineStr">
        <is>
          <t>B</t>
        </is>
      </c>
      <c r="T25" s="72" t="inlineStr">
        <is>
          <t>待收集</t>
        </is>
      </c>
      <c r="U25" s="85" t="n"/>
      <c r="V25" s="72" t="inlineStr">
        <is>
          <t>公司官网</t>
        </is>
      </c>
      <c r="W25" s="72" t="inlineStr">
        <is>
          <t>工业AI/智能制造版简历</t>
        </is>
      </c>
      <c r="X25" s="72" t="inlineStr">
        <is>
          <t>招聘邮箱scc@zhiye.com；电话见官网</t>
        </is>
      </c>
      <c r="Y25" s="72" t="inlineStr">
        <is>
          <t>确认27届秋招网申入口；核验薪资、倒班制度和具体工作地点后投递；通信工程本科+自动化技能有匹配点</t>
        </is>
      </c>
      <c r="Z25" s="85" t="n">
        <v>46279</v>
      </c>
      <c r="AA25" s="72" t="inlineStr">
        <is>
          <t>27届秋招岗位，招聘256人，机会较多。福利待遇含六险一金、人才安居住房补贴、福利食堂宿舍、免费班车等。</t>
        </is>
      </c>
      <c r="AB25" s="72" t="inlineStr">
        <is>
          <t>硕士12-23W/年（官方区间）</t>
        </is>
      </c>
      <c r="AC25" s="72" t="inlineStr">
        <is>
          <t>六险一金、过节费、餐费补贴、春节路费、通讯补贴、人才安居住房补贴、专项奖励、"三八节"保健费；福利食堂、福利宿舍、免费班车、年度旅游、带薪年休假、带薪福利假、季度劳保、生日礼物、中秋礼物；健康医务室、年度免费体检、孕期关怀</t>
        </is>
      </c>
    </row>
    <row r="26">
      <c r="A26" s="72" t="inlineStr">
        <is>
          <t>JOB-20260907-022</t>
        </is>
      </c>
      <c r="B26" s="72" t="inlineStr">
        <is>
          <t>COM-012</t>
        </is>
      </c>
      <c r="C26" s="72" t="inlineStr">
        <is>
          <t>深南电路</t>
        </is>
      </c>
      <c r="D26" s="72" t="inlineStr">
        <is>
          <t>生产管理岗-27届秋招</t>
        </is>
      </c>
      <c r="E26" s="72" t="inlineStr">
        <is>
          <t>工业AI/智能制造</t>
        </is>
      </c>
      <c r="F26" s="72" t="inlineStr">
        <is>
          <t>深圳17/广州41/无锡76/南通26/成都20/泰国10（共190人）</t>
        </is>
      </c>
      <c r="G26" s="72" t="inlineStr">
        <is>
          <t>1.人员组织管理、生产管理、安全管理；现场人员培训、管理、效率、产出、交付；2.完成项目需求及框架搭建与规划；项目问题分析及异常处理；推进相关项目管理要求在现场落地</t>
        </is>
      </c>
      <c r="H26" s="72" t="inlineStr">
        <is>
          <t>本科及以上；工业工程、电气工程及其自动化、自动化、通信工程、机械、电子科学与技术等理工类或管理类专业</t>
        </is>
      </c>
      <c r="I26" s="72" t="inlineStr">
        <is>
          <t>精益生产、六西格玛、工业数据分析、项目管理、AI辅助生产优化</t>
        </is>
      </c>
      <c r="J26" s="72" t="inlineStr">
        <is>
          <t>本科及以上</t>
        </is>
      </c>
      <c r="K26" s="72" t="inlineStr">
        <is>
          <t>工业工程/电气工程及其自动化/自动化/通信工程/机械/电子科学与技术等</t>
        </is>
      </c>
      <c r="L26" s="72" t="inlineStr">
        <is>
          <t>待确认</t>
        </is>
      </c>
      <c r="M26" s="72" t="n">
        <v>190</v>
      </c>
      <c r="N26" s="72" t="inlineStr">
        <is>
          <t>https://scc.zhiye.com/campus/jobs</t>
        </is>
      </c>
      <c r="O26" s="85" t="inlineStr">
        <is>
          <t>待核验</t>
        </is>
      </c>
      <c r="P26" s="72" t="n">
        <v>3</v>
      </c>
      <c r="Q26" s="72" t="n">
        <v>3</v>
      </c>
      <c r="R26" s="72" t="n">
        <v>2</v>
      </c>
      <c r="S26" s="72" t="inlineStr">
        <is>
          <t>C</t>
        </is>
      </c>
      <c r="T26" s="72" t="inlineStr">
        <is>
          <t>待收集</t>
        </is>
      </c>
      <c r="U26" s="85" t="n"/>
      <c r="V26" s="72" t="inlineStr">
        <is>
          <t>公司官网</t>
        </is>
      </c>
      <c r="W26" s="72" t="inlineStr">
        <is>
          <t>工业AI/智能制造版简历</t>
        </is>
      </c>
      <c r="X26" s="72" t="inlineStr">
        <is>
          <t>招聘邮箱scc@zhiye.com；电话见官网</t>
        </is>
      </c>
      <c r="Y26" s="72" t="inlineStr">
        <is>
          <t>确认27届秋招岗位更新；该岗位偏现场管理，与通信工程背景匹配度一般，优先级较低</t>
        </is>
      </c>
      <c r="Z26" s="85" t="n">
        <v>46279</v>
      </c>
      <c r="AA26" s="72" t="inlineStr">
        <is>
          <t>27届秋招岗位，招聘190人。与设备管理岗同属制造体系。</t>
        </is>
      </c>
      <c r="AB26" s="72" t="inlineStr">
        <is>
          <t>硕士12-23W/年（官方区间）</t>
        </is>
      </c>
      <c r="AC26" s="72" t="inlineStr">
        <is>
          <t>六险一金、过节费、餐费补贴、春节路费、通讯补贴、人才安居住房补贴、专项奖励、"三八节"保健费；福利食堂、福利宿舍、免费班车、年度旅游、带薪年休假、带薪福利假、季度劳保、生日礼物、中秋礼物；健康医务室、年度免费体检、孕期关怀</t>
        </is>
      </c>
    </row>
    <row r="27">
      <c r="A27" s="72" t="inlineStr">
        <is>
          <t>JOB-20260907-023</t>
        </is>
      </c>
      <c r="B27" s="72" t="inlineStr">
        <is>
          <t>COM-012</t>
        </is>
      </c>
      <c r="C27" s="72" t="inlineStr">
        <is>
          <t>深南电路</t>
        </is>
      </c>
      <c r="D27" s="72" t="inlineStr">
        <is>
          <t>智能制造岗-27届秋招</t>
        </is>
      </c>
      <c r="E27" s="72" t="inlineStr">
        <is>
          <t>工业AI/智能制造</t>
        </is>
      </c>
      <c r="F27" s="72" t="inlineStr">
        <is>
          <t>深圳5/广州5/无锡25/南通9/成都4/泰国4（共52人）</t>
        </is>
      </c>
      <c r="G27" s="72" t="inlineStr">
        <is>
          <t>1.组织智能单元上线；2.智能单元功能升级；3.解决智能单元日常应用问题；4.设计工厂数字化工作目标，承接智能工厂建设任务</t>
        </is>
      </c>
      <c r="H27" s="72" t="inlineStr">
        <is>
          <t>本科及以上；电气工程及其自动化、自动化、控制工程、机械设计制造及其自动化、过程装备与控制工程、先进制造、智能制造工程、工业工程、数学与应用数学等</t>
        </is>
      </c>
      <c r="I27" s="72" t="inlineStr">
        <is>
          <t>Python/数据分析、AI Agent应用、工业自动化、智能工厂建设、数字孪生、MES系统经验</t>
        </is>
      </c>
      <c r="J27" s="72" t="inlineStr">
        <is>
          <t>本科及以上</t>
        </is>
      </c>
      <c r="K27" s="72" t="inlineStr">
        <is>
          <t>电气工程及其自动化/自动化/控制工程/智能制造工程/工业工程/数学等</t>
        </is>
      </c>
      <c r="L27" s="72" t="inlineStr">
        <is>
          <t>待确认</t>
        </is>
      </c>
      <c r="M27" s="72" t="n">
        <v>52</v>
      </c>
      <c r="N27" s="72" t="inlineStr">
        <is>
          <t>https://scc.zhiye.com/campus/jobs</t>
        </is>
      </c>
      <c r="O27" s="85" t="inlineStr">
        <is>
          <t>待核验</t>
        </is>
      </c>
      <c r="P27" s="72" t="n">
        <v>5</v>
      </c>
      <c r="Q27" s="72" t="n">
        <v>4</v>
      </c>
      <c r="R27" s="72" t="n">
        <v>5</v>
      </c>
      <c r="S27" s="72" t="inlineStr">
        <is>
          <t>S</t>
        </is>
      </c>
      <c r="T27" s="72" t="inlineStr">
        <is>
          <t>待收集</t>
        </is>
      </c>
      <c r="U27" s="85" t="n"/>
      <c r="V27" s="72" t="inlineStr">
        <is>
          <t>公司官网</t>
        </is>
      </c>
      <c r="W27" s="72" t="inlineStr">
        <is>
          <t>工业AI/智能制造版简历</t>
        </is>
      </c>
      <c r="X27" s="72" t="inlineStr">
        <is>
          <t>招聘邮箱scc@zhiye.com；电话见官网</t>
        </is>
      </c>
      <c r="Y27" s="72" t="inlineStr">
        <is>
          <t>优先投递！通信工程本科+冶金硕士+AI Agent/数据分析技能与智能制造/工厂数字化高度匹配；突出智能工厂、工业AI、数据分析项目经验</t>
        </is>
      </c>
      <c r="Z27" s="85" t="n">
        <v>46279</v>
      </c>
      <c r="AA27" s="72" t="inlineStr">
        <is>
          <t>27届秋招岗位，招聘52人。与你的工业AI/智能制造求职方向最匹配！博士岗另有3人（深圳/南通/无锡），涉及可解释AI、混合模型研发。</t>
        </is>
      </c>
      <c r="AB27" s="72" t="inlineStr">
        <is>
          <t>硕士12-23W/年（官方区间）</t>
        </is>
      </c>
      <c r="AC27" s="72" t="inlineStr">
        <is>
          <t>六险一金、过节费、餐费补贴、春节路费、通讯补贴、人才安居住房补贴、专项奖励、"三八节"保健费；福利食堂、福利宿舍、免费班车、年度旅游、带薪年休假、带薪福利假、季度劳保、生日礼物、中秋礼物；健康医务室、年度免费体检、孕期关怀</t>
        </is>
      </c>
    </row>
    <row r="28">
      <c r="A28" s="72" t="inlineStr">
        <is>
          <t>JOB-20260907-024</t>
        </is>
      </c>
      <c r="B28" s="72" t="inlineStr">
        <is>
          <t>COM-012</t>
        </is>
      </c>
      <c r="C28" s="72" t="inlineStr">
        <is>
          <t>深南电路</t>
        </is>
      </c>
      <c r="D28" s="72" t="inlineStr">
        <is>
          <t>数据运营岗-27届秋招</t>
        </is>
      </c>
      <c r="E28" s="72" t="inlineStr">
        <is>
          <t>数据分析/数据开发</t>
        </is>
      </c>
      <c r="F28" s="72" t="inlineStr">
        <is>
          <t>深圳（1人）</t>
        </is>
      </c>
      <c r="G28" s="72" t="inlineStr">
        <is>
          <t>1.数据采集与系统整合：打通销售-生产-供应链全链路；2.销售漏斗与客户生命周期分析；3.预测建模与销售目标拆解；4.跨部门协同与决策支持；5.可视化报告与数据产品输出</t>
        </is>
      </c>
      <c r="H28" s="72" t="inlineStr">
        <is>
          <t>本科及以上；电气工程、自动化、电子信息工程、材料科学与工程、统计学、数据科学与大数据技术、信息与计算科学、工业工程、物流管理、智能制造工程</t>
        </is>
      </c>
      <c r="I28" s="72" t="inlineStr">
        <is>
          <t>Python数据分析、预测建模、数据可视化、SQL、BI工具、供应链数据分析、AI辅助决策</t>
        </is>
      </c>
      <c r="J28" s="72" t="inlineStr">
        <is>
          <t>本科及以上</t>
        </is>
      </c>
      <c r="K28" s="72" t="inlineStr">
        <is>
          <t>电气工程/自动化/电子信息工程/材料科学与工程/统计学/数据科学/工业工程/智能制造工程</t>
        </is>
      </c>
      <c r="L28" s="72" t="inlineStr">
        <is>
          <t>待确认</t>
        </is>
      </c>
      <c r="M28" s="72" t="n">
        <v>1</v>
      </c>
      <c r="N28" s="72" t="inlineStr">
        <is>
          <t>https://scc.zhiye.com/campus/jobs</t>
        </is>
      </c>
      <c r="O28" s="85" t="inlineStr">
        <is>
          <t>待核验</t>
        </is>
      </c>
      <c r="P28" s="72" t="n">
        <v>5</v>
      </c>
      <c r="Q28" s="72" t="n">
        <v>5</v>
      </c>
      <c r="R28" s="72" t="n">
        <v>4</v>
      </c>
      <c r="S28" s="72" t="inlineStr">
        <is>
          <t>A</t>
        </is>
      </c>
      <c r="T28" s="72" t="inlineStr">
        <is>
          <t>待收集</t>
        </is>
      </c>
      <c r="U28" s="85" t="n"/>
      <c r="V28" s="72" t="inlineStr">
        <is>
          <t>公司官网</t>
        </is>
      </c>
      <c r="W28" s="72" t="inlineStr">
        <is>
          <t>数据分析/AI综合版简历</t>
        </is>
      </c>
      <c r="X28" s="72" t="inlineStr">
        <is>
          <t>招聘邮箱scc@zhiye.com；电话见官网</t>
        </is>
      </c>
      <c r="Y28" s="72" t="inlineStr">
        <is>
          <t>优先投递！冶金硕士+通信本科+Origin/Python数据分析+科研数据处理经验完美匹配；仅招1人，竞争激烈，尽快网申</t>
        </is>
      </c>
      <c r="Z28" s="85" t="n">
        <v>46279</v>
      </c>
      <c r="AA28" s="72" t="inlineStr">
        <is>
          <t>27届秋招岗位，仅招1人（深圳）。与你的数据分析求职方向高度匹配！突出科研数据处理、动力学计算、Python/AI工具经验。</t>
        </is>
      </c>
      <c r="AB28" s="72" t="inlineStr">
        <is>
          <t>硕士12-23W/年（官方区间）</t>
        </is>
      </c>
      <c r="AC28" s="72" t="inlineStr">
        <is>
          <t>六险一金、过节费、餐费补贴、春节路费、通讯补贴、人才安居住房补贴、专项奖励、"三八节"保健费；福利食堂、福利宿舍、免费班车、年度旅游、带薪年休假、带薪福利假、季度劳保、生日礼物、中秋礼物；健康医务室、年度免费体检、孕期关怀</t>
        </is>
      </c>
    </row>
    <row r="29">
      <c r="A29" s="72" t="inlineStr">
        <is>
          <t>JOB-20260907-025</t>
        </is>
      </c>
      <c r="B29" s="72" t="inlineStr">
        <is>
          <t>COM-012</t>
        </is>
      </c>
      <c r="C29" s="72" t="inlineStr">
        <is>
          <t>深南电路</t>
        </is>
      </c>
      <c r="D29" s="72" t="inlineStr">
        <is>
          <t>工艺研发岗-27届秋招</t>
        </is>
      </c>
      <c r="E29" s="72" t="inlineStr">
        <is>
          <t>冶金/材料/研发</t>
        </is>
      </c>
      <c r="F29" s="72" t="inlineStr">
        <is>
          <t>深圳83/广州124/无锡193/南通55/成都92/泰国24（共571人）</t>
        </is>
      </c>
      <c r="G29" s="72" t="inlineStr">
        <is>
          <t>1.维护现场工艺稳定（技术异常处理）；2.工艺能力提升（技术难点研究），通过优化流程设计、加工参数，新物料及新设备引进等提升现有能力；3.新样品的全流程工艺开发；4.新物料、新设备的引入及认证</t>
        </is>
      </c>
      <c r="H29" s="72" t="inlineStr">
        <is>
          <t>本科及以上；化学类、材料类、机械类、电子类、物理类、数学类、光电类等专业</t>
        </is>
      </c>
      <c r="I29" s="72" t="inlineStr">
        <is>
          <t>材料/冶金科研经验、实验设计与数据分析、XRD/TG-DSC/SEM表征、工艺优化、新物料认证</t>
        </is>
      </c>
      <c r="J29" s="72" t="inlineStr">
        <is>
          <t>本科及以上</t>
        </is>
      </c>
      <c r="K29" s="72" t="inlineStr">
        <is>
          <t>化学类/材料类/机械类/电子类/物理类/数学类/光电类等</t>
        </is>
      </c>
      <c r="L29" s="72" t="inlineStr">
        <is>
          <t>待确认</t>
        </is>
      </c>
      <c r="M29" s="72" t="n">
        <v>571</v>
      </c>
      <c r="N29" s="72" t="inlineStr">
        <is>
          <t>https://scc.zhiye.com/campus/jobs</t>
        </is>
      </c>
      <c r="O29" s="85" t="inlineStr">
        <is>
          <t>待核验</t>
        </is>
      </c>
      <c r="P29" s="72" t="n">
        <v>4</v>
      </c>
      <c r="Q29" s="72" t="n">
        <v>4</v>
      </c>
      <c r="R29" s="72" t="n">
        <v>3</v>
      </c>
      <c r="S29" s="72" t="inlineStr">
        <is>
          <t>A</t>
        </is>
      </c>
      <c r="T29" s="72" t="inlineStr">
        <is>
          <t>待收集</t>
        </is>
      </c>
      <c r="U29" s="85" t="n"/>
      <c r="V29" s="72" t="inlineStr">
        <is>
          <t>公司官网</t>
        </is>
      </c>
      <c r="W29" s="72" t="inlineStr">
        <is>
          <t>工业AI/冶金科研版简历</t>
        </is>
      </c>
      <c r="X29" s="72" t="inlineStr">
        <is>
          <t>招聘邮箱scc@zhiye.com；电话见官网</t>
        </is>
      </c>
      <c r="Y29" s="72" t="inlineStr">
        <is>
          <t>冶金硕士背景（材料/化学相关）匹配；招聘571人机会多；突出冶金科研项目（铜渣资源化、PB块矿热分解）和表征分析经验</t>
        </is>
      </c>
      <c r="Z29" s="85" t="n">
        <v>46279</v>
      </c>
      <c r="AA29" s="72" t="inlineStr">
        <is>
          <t>27届秋招岗位，招聘571人（人数最多）。与你的冶金研发方向匹配。博士岗另有38人，涉及高分子复合材料研发。</t>
        </is>
      </c>
      <c r="AB29" s="72" t="inlineStr">
        <is>
          <t>硕士12-23W/年（官方区间）</t>
        </is>
      </c>
      <c r="AC29" s="72" t="inlineStr">
        <is>
          <t>六险一金、过节费、餐费补贴、春节路费、通讯补贴、人才安居住房补贴、专项奖励、"三八节"保健费；福利食堂、福利宿舍、免费班车、年度旅游、带薪年休假、带薪福利假、季度劳保、生日礼物、中秋礼物；健康医务室、年度免费体检、孕期关怀</t>
        </is>
      </c>
    </row>
    <row r="30">
      <c r="A30" s="72" t="inlineStr">
        <is>
          <t>JOB-20260907-026</t>
        </is>
      </c>
      <c r="B30" s="72" t="inlineStr">
        <is>
          <t>COM-012</t>
        </is>
      </c>
      <c r="C30" s="72" t="inlineStr">
        <is>
          <t>深南电路</t>
        </is>
      </c>
      <c r="D30" s="72" t="inlineStr">
        <is>
          <t>质量管理岗-27届秋招</t>
        </is>
      </c>
      <c r="E30" s="72" t="inlineStr">
        <is>
          <t>工业AI/智能制造</t>
        </is>
      </c>
      <c r="F30" s="72" t="inlineStr">
        <is>
          <t>深圳27/广州74/无锡92/南通42/成都43/泰国15（共293人）</t>
        </is>
      </c>
      <c r="G30" s="72" t="inlineStr">
        <is>
          <t>1.负责前期项目质量与风险识别、NPI过程改善、新产品导入验证、QPA管理、制程合规及质量改善；2.开展过程质量维护、标准导入、新设备/物料/流程验证及预防性管理等专项工作</t>
        </is>
      </c>
      <c r="H30" s="72" t="inlineStr">
        <is>
          <t>本科及以上；理工类专业，优先材料类、化学类、电子信息类、机械类、数学类专业</t>
        </is>
      </c>
      <c r="I30" s="72" t="inlineStr">
        <is>
          <t>质量管理体系、数据分析、SPC统计过程控制、六西格玛、实验设计、AI辅助质量分析</t>
        </is>
      </c>
      <c r="J30" s="72" t="inlineStr">
        <is>
          <t>本科及以上</t>
        </is>
      </c>
      <c r="K30" s="72" t="inlineStr">
        <is>
          <t>理工类，优先材料类/化学类/电子信息类/机械类/数学类</t>
        </is>
      </c>
      <c r="L30" s="72" t="inlineStr">
        <is>
          <t>待确认</t>
        </is>
      </c>
      <c r="M30" s="72" t="n">
        <v>293</v>
      </c>
      <c r="N30" s="72" t="inlineStr">
        <is>
          <t>https://scc.zhiye.com/campus/jobs</t>
        </is>
      </c>
      <c r="O30" s="85" t="inlineStr">
        <is>
          <t>待核验</t>
        </is>
      </c>
      <c r="P30" s="72" t="n">
        <v>3</v>
      </c>
      <c r="Q30" s="72" t="n">
        <v>3</v>
      </c>
      <c r="R30" s="72" t="n">
        <v>2</v>
      </c>
      <c r="S30" s="72" t="inlineStr">
        <is>
          <t>C</t>
        </is>
      </c>
      <c r="T30" s="72" t="inlineStr">
        <is>
          <t>待收集</t>
        </is>
      </c>
      <c r="U30" s="85" t="n"/>
      <c r="V30" s="72" t="inlineStr">
        <is>
          <t>公司官网</t>
        </is>
      </c>
      <c r="W30" s="72" t="inlineStr">
        <is>
          <t>工业AI/智能制造版简历</t>
        </is>
      </c>
      <c r="X30" s="72" t="inlineStr">
        <is>
          <t>招聘邮箱scc@zhiye.com；电话见官网</t>
        </is>
      </c>
      <c r="Y30" s="72" t="inlineStr">
        <is>
          <t>理工类背景匹配，但质量管理非核心求职方向；可作为保底选项；招聘293人机会较多</t>
        </is>
      </c>
      <c r="Z30" s="85" t="n">
        <v>46279</v>
      </c>
      <c r="AA30" s="72" t="inlineStr">
        <is>
          <t>27届秋招岗位，招聘293人。博士岗另有5人（深圳/无锡），涉及质量管理数字化与智能化。</t>
        </is>
      </c>
      <c r="AB30" s="72" t="inlineStr">
        <is>
          <t>硕士12-23W/年（官方区间）</t>
        </is>
      </c>
      <c r="AC30" s="72" t="inlineStr">
        <is>
          <t>六险一金、过节费、餐费补贴、春节路费、通讯补贴、人才安居住房补贴、专项奖励、"三八节"保健费；福利食堂、福利宿舍、免费班车、年度旅游、带薪年休假、带薪福利假、季度劳保、生日礼物、中秋礼物；健康医务室、年度免费体检、孕期关怀</t>
        </is>
      </c>
    </row>
    <row r="31">
      <c r="O31" s="86" t="n"/>
      <c r="U31" s="86" t="n"/>
      <c r="Z31" s="86" t="n"/>
    </row>
    <row r="32">
      <c r="O32" s="86" t="n"/>
      <c r="U32" s="86" t="n"/>
      <c r="Z32" s="86" t="n"/>
    </row>
    <row r="33">
      <c r="O33" s="86" t="n"/>
      <c r="U33" s="86" t="n"/>
      <c r="Z33" s="86" t="n"/>
    </row>
    <row r="34">
      <c r="O34" s="86" t="n"/>
      <c r="U34" s="86" t="n"/>
      <c r="Z34" s="86" t="n"/>
    </row>
    <row r="35">
      <c r="O35" s="86" t="n"/>
      <c r="U35" s="86" t="n"/>
      <c r="Z35" s="86" t="n"/>
    </row>
    <row r="36">
      <c r="O36" s="86" t="n"/>
      <c r="U36" s="86" t="n"/>
      <c r="Z36" s="86" t="n"/>
    </row>
    <row r="37">
      <c r="O37" s="86" t="n"/>
      <c r="U37" s="86" t="n"/>
      <c r="Z37" s="86" t="n"/>
    </row>
    <row r="38">
      <c r="O38" s="86" t="n"/>
      <c r="U38" s="86" t="n"/>
      <c r="Z38" s="86" t="n"/>
    </row>
    <row r="39">
      <c r="O39" s="86" t="n"/>
      <c r="U39" s="86" t="n"/>
      <c r="Z39" s="86" t="n"/>
    </row>
    <row r="40">
      <c r="O40" s="86" t="n"/>
      <c r="U40" s="86" t="n"/>
      <c r="Z40" s="86" t="n"/>
    </row>
    <row r="41">
      <c r="O41" s="86" t="n"/>
      <c r="U41" s="86" t="n"/>
      <c r="Z41" s="86" t="n"/>
    </row>
    <row r="42">
      <c r="O42" s="86" t="n"/>
      <c r="U42" s="86" t="n"/>
      <c r="Z42" s="86" t="n"/>
    </row>
    <row r="43">
      <c r="O43" s="86" t="n"/>
      <c r="U43" s="86" t="n"/>
      <c r="Z43" s="86" t="n"/>
    </row>
    <row r="44">
      <c r="O44" s="86" t="n"/>
      <c r="U44" s="86" t="n"/>
      <c r="Z44" s="86" t="n"/>
    </row>
    <row r="45">
      <c r="O45" s="86" t="n"/>
      <c r="U45" s="86" t="n"/>
      <c r="Z45" s="86" t="n"/>
    </row>
    <row r="46">
      <c r="O46" s="86" t="n"/>
      <c r="U46" s="86" t="n"/>
      <c r="Z46" s="86" t="n"/>
    </row>
    <row r="47">
      <c r="O47" s="86" t="n"/>
      <c r="U47" s="86" t="n"/>
      <c r="Z47" s="86" t="n"/>
    </row>
    <row r="48">
      <c r="O48" s="86" t="n"/>
      <c r="U48" s="86" t="n"/>
      <c r="Z48" s="86" t="n"/>
    </row>
    <row r="49">
      <c r="O49" s="86" t="n"/>
      <c r="U49" s="86" t="n"/>
      <c r="Z49" s="86" t="n"/>
    </row>
    <row r="50">
      <c r="O50" s="86" t="n"/>
      <c r="U50" s="86" t="n"/>
      <c r="Z50" s="86" t="n"/>
    </row>
    <row r="51">
      <c r="O51" s="86" t="n"/>
      <c r="U51" s="86" t="n"/>
      <c r="Z51" s="86" t="n"/>
    </row>
    <row r="52">
      <c r="O52" s="86" t="n"/>
      <c r="U52" s="86" t="n"/>
      <c r="Z52" s="86" t="n"/>
    </row>
    <row r="53">
      <c r="O53" s="86" t="n"/>
      <c r="U53" s="86" t="n"/>
      <c r="Z53" s="86" t="n"/>
    </row>
    <row r="54">
      <c r="O54" s="86" t="n"/>
      <c r="U54" s="86" t="n"/>
      <c r="Z54" s="86" t="n"/>
    </row>
    <row r="55">
      <c r="O55" s="86" t="n"/>
      <c r="U55" s="86" t="n"/>
      <c r="Z55" s="86" t="n"/>
    </row>
    <row r="56">
      <c r="O56" s="86" t="n"/>
      <c r="U56" s="86" t="n"/>
      <c r="Z56" s="86" t="n"/>
    </row>
    <row r="57">
      <c r="O57" s="86" t="n"/>
      <c r="U57" s="86" t="n"/>
      <c r="Z57" s="86" t="n"/>
    </row>
    <row r="58">
      <c r="O58" s="86" t="n"/>
      <c r="U58" s="86" t="n"/>
      <c r="Z58" s="86" t="n"/>
    </row>
    <row r="59">
      <c r="O59" s="86" t="n"/>
      <c r="U59" s="86" t="n"/>
      <c r="Z59" s="86" t="n"/>
    </row>
    <row r="60">
      <c r="O60" s="86" t="n"/>
      <c r="U60" s="86" t="n"/>
      <c r="Z60" s="86" t="n"/>
    </row>
    <row r="61">
      <c r="O61" s="86" t="n"/>
      <c r="U61" s="86" t="n"/>
      <c r="Z61" s="86" t="n"/>
    </row>
    <row r="62">
      <c r="O62" s="86" t="n"/>
      <c r="U62" s="86" t="n"/>
      <c r="Z62" s="86" t="n"/>
    </row>
    <row r="63">
      <c r="O63" s="86" t="n"/>
      <c r="U63" s="86" t="n"/>
      <c r="Z63" s="86" t="n"/>
    </row>
    <row r="64">
      <c r="O64" s="86" t="n"/>
      <c r="U64" s="86" t="n"/>
      <c r="Z64" s="86" t="n"/>
    </row>
    <row r="65">
      <c r="O65" s="86" t="n"/>
      <c r="U65" s="86" t="n"/>
      <c r="Z65" s="86" t="n"/>
    </row>
    <row r="66">
      <c r="O66" s="86" t="n"/>
      <c r="U66" s="86" t="n"/>
      <c r="Z66" s="86" t="n"/>
    </row>
    <row r="67">
      <c r="O67" s="86" t="n"/>
      <c r="U67" s="86" t="n"/>
      <c r="Z67" s="86" t="n"/>
    </row>
    <row r="68">
      <c r="O68" s="86" t="n"/>
      <c r="U68" s="86" t="n"/>
      <c r="Z68" s="86" t="n"/>
    </row>
    <row r="69">
      <c r="O69" s="86" t="n"/>
      <c r="U69" s="86" t="n"/>
      <c r="Z69" s="86" t="n"/>
    </row>
    <row r="70">
      <c r="O70" s="86" t="n"/>
      <c r="U70" s="86" t="n"/>
      <c r="Z70" s="86" t="n"/>
    </row>
    <row r="71">
      <c r="O71" s="86" t="n"/>
      <c r="U71" s="86" t="n"/>
      <c r="Z71" s="86" t="n"/>
    </row>
    <row r="72">
      <c r="O72" s="86" t="n"/>
      <c r="U72" s="86" t="n"/>
      <c r="Z72" s="86" t="n"/>
    </row>
    <row r="73">
      <c r="O73" s="86" t="n"/>
      <c r="U73" s="86" t="n"/>
      <c r="Z73" s="86" t="n"/>
    </row>
    <row r="74">
      <c r="O74" s="86" t="n"/>
      <c r="U74" s="86" t="n"/>
      <c r="Z74" s="86" t="n"/>
    </row>
    <row r="75">
      <c r="O75" s="86" t="n"/>
      <c r="U75" s="86" t="n"/>
      <c r="Z75" s="86" t="n"/>
    </row>
    <row r="76">
      <c r="O76" s="86" t="n"/>
      <c r="U76" s="86" t="n"/>
      <c r="Z76" s="86" t="n"/>
    </row>
    <row r="77">
      <c r="O77" s="86" t="n"/>
      <c r="U77" s="86" t="n"/>
      <c r="Z77" s="86" t="n"/>
    </row>
    <row r="78">
      <c r="O78" s="86" t="n"/>
      <c r="U78" s="86" t="n"/>
      <c r="Z78" s="86" t="n"/>
    </row>
    <row r="79">
      <c r="O79" s="86" t="n"/>
      <c r="U79" s="86" t="n"/>
      <c r="Z79" s="86" t="n"/>
    </row>
    <row r="80">
      <c r="O80" s="86" t="n"/>
      <c r="U80" s="86" t="n"/>
      <c r="Z80" s="86" t="n"/>
    </row>
    <row r="81">
      <c r="O81" s="86" t="n"/>
      <c r="U81" s="86" t="n"/>
      <c r="Z81" s="86" t="n"/>
    </row>
    <row r="82">
      <c r="O82" s="86" t="n"/>
      <c r="U82" s="86" t="n"/>
      <c r="Z82" s="86" t="n"/>
    </row>
    <row r="83">
      <c r="O83" s="86" t="n"/>
      <c r="U83" s="86" t="n"/>
      <c r="Z83" s="86" t="n"/>
    </row>
    <row r="84">
      <c r="O84" s="86" t="n"/>
      <c r="U84" s="86" t="n"/>
      <c r="Z84" s="86" t="n"/>
    </row>
    <row r="85">
      <c r="O85" s="86" t="n"/>
      <c r="U85" s="86" t="n"/>
      <c r="Z85" s="86" t="n"/>
    </row>
    <row r="86">
      <c r="O86" s="86" t="n"/>
      <c r="U86" s="86" t="n"/>
      <c r="Z86" s="86" t="n"/>
    </row>
    <row r="87">
      <c r="O87" s="86" t="n"/>
      <c r="U87" s="86" t="n"/>
      <c r="Z87" s="86" t="n"/>
    </row>
    <row r="88">
      <c r="O88" s="86" t="n"/>
      <c r="U88" s="86" t="n"/>
      <c r="Z88" s="86" t="n"/>
    </row>
    <row r="89">
      <c r="O89" s="86" t="n"/>
      <c r="U89" s="86" t="n"/>
      <c r="Z89" s="86" t="n"/>
    </row>
    <row r="90">
      <c r="O90" s="86" t="n"/>
      <c r="U90" s="86" t="n"/>
      <c r="Z90" s="86" t="n"/>
    </row>
    <row r="91">
      <c r="O91" s="86" t="n"/>
      <c r="U91" s="86" t="n"/>
      <c r="Z91" s="86" t="n"/>
    </row>
    <row r="92">
      <c r="O92" s="86" t="n"/>
      <c r="U92" s="86" t="n"/>
      <c r="Z92" s="86" t="n"/>
    </row>
    <row r="93">
      <c r="O93" s="86" t="n"/>
      <c r="U93" s="86" t="n"/>
      <c r="Z93" s="86" t="n"/>
    </row>
    <row r="94">
      <c r="O94" s="86" t="n"/>
      <c r="U94" s="86" t="n"/>
      <c r="Z94" s="86" t="n"/>
    </row>
    <row r="95">
      <c r="O95" s="86" t="n"/>
      <c r="U95" s="86" t="n"/>
      <c r="Z95" s="86" t="n"/>
    </row>
    <row r="96">
      <c r="O96" s="86" t="n"/>
      <c r="U96" s="86" t="n"/>
      <c r="Z96" s="86" t="n"/>
    </row>
    <row r="97">
      <c r="O97" s="86" t="n"/>
      <c r="U97" s="86" t="n"/>
      <c r="Z97" s="86" t="n"/>
    </row>
    <row r="98">
      <c r="O98" s="86" t="n"/>
      <c r="U98" s="86" t="n"/>
      <c r="Z98" s="86" t="n"/>
    </row>
    <row r="99">
      <c r="O99" s="86" t="n"/>
      <c r="U99" s="86" t="n"/>
      <c r="Z99" s="86" t="n"/>
    </row>
    <row r="100">
      <c r="O100" s="86" t="n"/>
      <c r="U100" s="86" t="n"/>
      <c r="Z100" s="86" t="n"/>
    </row>
    <row r="101">
      <c r="O101" s="86" t="n"/>
      <c r="U101" s="86" t="n"/>
      <c r="Z101" s="86" t="n"/>
    </row>
    <row r="102">
      <c r="O102" s="86" t="n"/>
      <c r="U102" s="86" t="n"/>
      <c r="Z102" s="86" t="n"/>
    </row>
    <row r="103">
      <c r="O103" s="86" t="n"/>
      <c r="U103" s="86" t="n"/>
      <c r="Z103" s="86" t="n"/>
    </row>
    <row r="104">
      <c r="O104" s="86" t="n"/>
      <c r="U104" s="86" t="n"/>
      <c r="Z104" s="86" t="n"/>
    </row>
    <row r="105">
      <c r="O105" s="86" t="n"/>
      <c r="U105" s="86" t="n"/>
      <c r="Z105" s="86" t="n"/>
    </row>
    <row r="106">
      <c r="O106" s="86" t="n"/>
      <c r="U106" s="86" t="n"/>
      <c r="Z106" s="86" t="n"/>
    </row>
    <row r="107">
      <c r="O107" s="86" t="n"/>
      <c r="U107" s="86" t="n"/>
      <c r="Z107" s="86" t="n"/>
    </row>
    <row r="108">
      <c r="O108" s="86" t="n"/>
      <c r="U108" s="86" t="n"/>
      <c r="Z108" s="86" t="n"/>
    </row>
    <row r="109">
      <c r="O109" s="86" t="n"/>
      <c r="U109" s="86" t="n"/>
      <c r="Z109" s="86" t="n"/>
    </row>
    <row r="110">
      <c r="O110" s="86" t="n"/>
      <c r="U110" s="86" t="n"/>
      <c r="Z110" s="86" t="n"/>
    </row>
    <row r="111">
      <c r="O111" s="86" t="n"/>
      <c r="U111" s="86" t="n"/>
      <c r="Z111" s="86" t="n"/>
    </row>
    <row r="112">
      <c r="O112" s="86" t="n"/>
      <c r="U112" s="86" t="n"/>
      <c r="Z112" s="86" t="n"/>
    </row>
    <row r="113">
      <c r="O113" s="86" t="n"/>
      <c r="U113" s="86" t="n"/>
      <c r="Z113" s="86" t="n"/>
    </row>
    <row r="114">
      <c r="O114" s="86" t="n"/>
      <c r="U114" s="86" t="n"/>
      <c r="Z114" s="86" t="n"/>
    </row>
    <row r="115">
      <c r="O115" s="86" t="n"/>
      <c r="U115" s="86" t="n"/>
      <c r="Z115" s="86" t="n"/>
    </row>
    <row r="116">
      <c r="O116" s="86" t="n"/>
      <c r="U116" s="86" t="n"/>
      <c r="Z116" s="86" t="n"/>
    </row>
    <row r="117">
      <c r="O117" s="86" t="n"/>
      <c r="U117" s="86" t="n"/>
      <c r="Z117" s="86" t="n"/>
    </row>
    <row r="118">
      <c r="O118" s="86" t="n"/>
      <c r="U118" s="86" t="n"/>
      <c r="Z118" s="86" t="n"/>
    </row>
    <row r="119">
      <c r="O119" s="86" t="n"/>
      <c r="U119" s="86" t="n"/>
      <c r="Z119" s="86" t="n"/>
    </row>
    <row r="120">
      <c r="O120" s="86" t="n"/>
      <c r="U120" s="86" t="n"/>
      <c r="Z120" s="86" t="n"/>
    </row>
    <row r="121">
      <c r="O121" s="86" t="n"/>
      <c r="U121" s="86" t="n"/>
      <c r="Z121" s="86" t="n"/>
    </row>
    <row r="122">
      <c r="O122" s="86" t="n"/>
      <c r="U122" s="86" t="n"/>
      <c r="Z122" s="86" t="n"/>
    </row>
    <row r="123">
      <c r="O123" s="86" t="n"/>
      <c r="U123" s="86" t="n"/>
      <c r="Z123" s="86" t="n"/>
    </row>
    <row r="124">
      <c r="O124" s="86" t="n"/>
      <c r="U124" s="86" t="n"/>
      <c r="Z124" s="86" t="n"/>
    </row>
    <row r="125">
      <c r="O125" s="86" t="n"/>
      <c r="U125" s="86" t="n"/>
      <c r="Z125" s="86" t="n"/>
    </row>
    <row r="126">
      <c r="O126" s="86" t="n"/>
      <c r="U126" s="86" t="n"/>
      <c r="Z126" s="86" t="n"/>
    </row>
    <row r="127">
      <c r="O127" s="86" t="n"/>
      <c r="U127" s="86" t="n"/>
      <c r="Z127" s="86" t="n"/>
    </row>
    <row r="128">
      <c r="O128" s="86" t="n"/>
      <c r="U128" s="86" t="n"/>
      <c r="Z128" s="86" t="n"/>
    </row>
    <row r="129">
      <c r="O129" s="86" t="n"/>
      <c r="U129" s="86" t="n"/>
      <c r="Z129" s="86" t="n"/>
    </row>
    <row r="130">
      <c r="O130" s="86" t="n"/>
      <c r="U130" s="86" t="n"/>
      <c r="Z130" s="86" t="n"/>
    </row>
    <row r="131">
      <c r="O131" s="86" t="n"/>
      <c r="U131" s="86" t="n"/>
      <c r="Z131" s="86" t="n"/>
    </row>
    <row r="132">
      <c r="O132" s="86" t="n"/>
      <c r="U132" s="86" t="n"/>
      <c r="Z132" s="86" t="n"/>
    </row>
    <row r="133">
      <c r="O133" s="86" t="n"/>
      <c r="U133" s="86" t="n"/>
      <c r="Z133" s="86" t="n"/>
    </row>
    <row r="134">
      <c r="O134" s="86" t="n"/>
      <c r="U134" s="86" t="n"/>
      <c r="Z134" s="86" t="n"/>
    </row>
    <row r="135">
      <c r="O135" s="86" t="n"/>
      <c r="U135" s="86" t="n"/>
      <c r="Z135" s="86" t="n"/>
    </row>
    <row r="136">
      <c r="O136" s="86" t="n"/>
      <c r="U136" s="86" t="n"/>
      <c r="Z136" s="86" t="n"/>
    </row>
    <row r="137">
      <c r="O137" s="86" t="n"/>
      <c r="U137" s="86" t="n"/>
      <c r="Z137" s="86" t="n"/>
    </row>
    <row r="138">
      <c r="O138" s="86" t="n"/>
      <c r="U138" s="86" t="n"/>
      <c r="Z138" s="86" t="n"/>
    </row>
    <row r="139">
      <c r="O139" s="86" t="n"/>
      <c r="U139" s="86" t="n"/>
      <c r="Z139" s="86" t="n"/>
    </row>
    <row r="140">
      <c r="O140" s="86" t="n"/>
      <c r="U140" s="86" t="n"/>
      <c r="Z140" s="86" t="n"/>
    </row>
    <row r="141">
      <c r="O141" s="86" t="n"/>
      <c r="U141" s="86" t="n"/>
      <c r="Z141" s="86" t="n"/>
    </row>
    <row r="142">
      <c r="O142" s="86" t="n"/>
      <c r="U142" s="86" t="n"/>
      <c r="Z142" s="86" t="n"/>
    </row>
    <row r="143">
      <c r="O143" s="86" t="n"/>
      <c r="U143" s="86" t="n"/>
      <c r="Z143" s="86" t="n"/>
    </row>
    <row r="144">
      <c r="O144" s="86" t="n"/>
      <c r="U144" s="86" t="n"/>
      <c r="Z144" s="86" t="n"/>
    </row>
    <row r="145">
      <c r="O145" s="86" t="n"/>
      <c r="U145" s="86" t="n"/>
      <c r="Z145" s="86" t="n"/>
    </row>
    <row r="146">
      <c r="O146" s="86" t="n"/>
      <c r="U146" s="86" t="n"/>
      <c r="Z146" s="86" t="n"/>
    </row>
    <row r="147">
      <c r="O147" s="86" t="n"/>
      <c r="U147" s="86" t="n"/>
      <c r="Z147" s="86" t="n"/>
    </row>
    <row r="148">
      <c r="O148" s="86" t="n"/>
      <c r="U148" s="86" t="n"/>
      <c r="Z148" s="86" t="n"/>
    </row>
    <row r="149">
      <c r="O149" s="86" t="n"/>
      <c r="U149" s="86" t="n"/>
      <c r="Z149" s="86" t="n"/>
    </row>
    <row r="150">
      <c r="O150" s="86" t="n"/>
      <c r="U150" s="86" t="n"/>
      <c r="Z150" s="86" t="n"/>
    </row>
    <row r="151">
      <c r="O151" s="86" t="n"/>
      <c r="U151" s="86" t="n"/>
      <c r="Z151" s="86" t="n"/>
    </row>
    <row r="152">
      <c r="O152" s="86" t="n"/>
      <c r="U152" s="86" t="n"/>
      <c r="Z152" s="86" t="n"/>
    </row>
    <row r="153">
      <c r="O153" s="86" t="n"/>
      <c r="U153" s="86" t="n"/>
      <c r="Z153" s="86" t="n"/>
    </row>
    <row r="154">
      <c r="O154" s="86" t="n"/>
      <c r="U154" s="86" t="n"/>
      <c r="Z154" s="86" t="n"/>
    </row>
    <row r="155">
      <c r="O155" s="86" t="n"/>
      <c r="U155" s="86" t="n"/>
      <c r="Z155" s="86" t="n"/>
    </row>
    <row r="156">
      <c r="O156" s="86" t="n"/>
      <c r="U156" s="86" t="n"/>
      <c r="Z156" s="86" t="n"/>
    </row>
    <row r="157">
      <c r="O157" s="86" t="n"/>
      <c r="U157" s="86" t="n"/>
      <c r="Z157" s="86" t="n"/>
    </row>
    <row r="158">
      <c r="O158" s="86" t="n"/>
      <c r="U158" s="86" t="n"/>
      <c r="Z158" s="86" t="n"/>
    </row>
    <row r="159">
      <c r="O159" s="86" t="n"/>
      <c r="U159" s="86" t="n"/>
      <c r="Z159" s="86" t="n"/>
    </row>
    <row r="160">
      <c r="O160" s="86" t="n"/>
      <c r="U160" s="86" t="n"/>
      <c r="Z160" s="86" t="n"/>
    </row>
    <row r="161">
      <c r="O161" s="86" t="n"/>
      <c r="U161" s="86" t="n"/>
      <c r="Z161" s="86" t="n"/>
    </row>
    <row r="162">
      <c r="O162" s="86" t="n"/>
      <c r="U162" s="86" t="n"/>
      <c r="Z162" s="86" t="n"/>
    </row>
    <row r="163">
      <c r="O163" s="86" t="n"/>
      <c r="U163" s="86" t="n"/>
      <c r="Z163" s="86" t="n"/>
    </row>
    <row r="164">
      <c r="O164" s="86" t="n"/>
      <c r="U164" s="86" t="n"/>
      <c r="Z164" s="86" t="n"/>
    </row>
    <row r="165">
      <c r="O165" s="86" t="n"/>
      <c r="U165" s="86" t="n"/>
      <c r="Z165" s="86" t="n"/>
    </row>
    <row r="166">
      <c r="O166" s="86" t="n"/>
      <c r="U166" s="86" t="n"/>
      <c r="Z166" s="86" t="n"/>
    </row>
    <row r="167">
      <c r="O167" s="86" t="n"/>
      <c r="U167" s="86" t="n"/>
      <c r="Z167" s="86" t="n"/>
    </row>
    <row r="168">
      <c r="O168" s="86" t="n"/>
      <c r="U168" s="86" t="n"/>
      <c r="Z168" s="86" t="n"/>
    </row>
    <row r="169">
      <c r="O169" s="86" t="n"/>
      <c r="U169" s="86" t="n"/>
      <c r="Z169" s="86" t="n"/>
    </row>
    <row r="170">
      <c r="O170" s="86" t="n"/>
      <c r="U170" s="86" t="n"/>
      <c r="Z170" s="86" t="n"/>
    </row>
    <row r="171">
      <c r="O171" s="86" t="n"/>
      <c r="U171" s="86" t="n"/>
      <c r="Z171" s="86" t="n"/>
    </row>
    <row r="172">
      <c r="O172" s="86" t="n"/>
      <c r="U172" s="86" t="n"/>
      <c r="Z172" s="86" t="n"/>
    </row>
    <row r="173">
      <c r="O173" s="86" t="n"/>
      <c r="U173" s="86" t="n"/>
      <c r="Z173" s="86" t="n"/>
    </row>
    <row r="174">
      <c r="O174" s="86" t="n"/>
      <c r="U174" s="86" t="n"/>
      <c r="Z174" s="86" t="n"/>
    </row>
    <row r="175">
      <c r="O175" s="86" t="n"/>
      <c r="U175" s="86" t="n"/>
      <c r="Z175" s="86" t="n"/>
    </row>
    <row r="176">
      <c r="O176" s="86" t="n"/>
      <c r="U176" s="86" t="n"/>
      <c r="Z176" s="86" t="n"/>
    </row>
    <row r="177">
      <c r="O177" s="86" t="n"/>
      <c r="U177" s="86" t="n"/>
      <c r="Z177" s="86" t="n"/>
    </row>
    <row r="178">
      <c r="O178" s="86" t="n"/>
      <c r="U178" s="86" t="n"/>
      <c r="Z178" s="86" t="n"/>
    </row>
    <row r="179">
      <c r="O179" s="86" t="n"/>
      <c r="U179" s="86" t="n"/>
      <c r="Z179" s="86" t="n"/>
    </row>
    <row r="180">
      <c r="O180" s="86" t="n"/>
      <c r="U180" s="86" t="n"/>
      <c r="Z180" s="86" t="n"/>
    </row>
    <row r="181">
      <c r="O181" s="86" t="n"/>
      <c r="U181" s="86" t="n"/>
      <c r="Z181" s="86" t="n"/>
    </row>
    <row r="182">
      <c r="O182" s="86" t="n"/>
      <c r="U182" s="86" t="n"/>
      <c r="Z182" s="86" t="n"/>
    </row>
    <row r="183">
      <c r="O183" s="86" t="n"/>
      <c r="U183" s="86" t="n"/>
      <c r="Z183" s="86" t="n"/>
    </row>
    <row r="184">
      <c r="O184" s="86" t="n"/>
      <c r="U184" s="86" t="n"/>
      <c r="Z184" s="86" t="n"/>
    </row>
    <row r="185">
      <c r="O185" s="86" t="n"/>
      <c r="U185" s="86" t="n"/>
      <c r="Z185" s="86" t="n"/>
    </row>
    <row r="186">
      <c r="O186" s="86" t="n"/>
      <c r="U186" s="86" t="n"/>
      <c r="Z186" s="86" t="n"/>
    </row>
    <row r="187">
      <c r="O187" s="86" t="n"/>
      <c r="U187" s="86" t="n"/>
      <c r="Z187" s="86" t="n"/>
    </row>
    <row r="188">
      <c r="O188" s="86" t="n"/>
      <c r="U188" s="86" t="n"/>
      <c r="Z188" s="86" t="n"/>
    </row>
    <row r="189">
      <c r="O189" s="86" t="n"/>
      <c r="U189" s="86" t="n"/>
      <c r="Z189" s="86" t="n"/>
    </row>
    <row r="190">
      <c r="O190" s="86" t="n"/>
      <c r="U190" s="86" t="n"/>
      <c r="Z190" s="86" t="n"/>
    </row>
    <row r="191">
      <c r="O191" s="86" t="n"/>
      <c r="U191" s="86" t="n"/>
      <c r="Z191" s="86" t="n"/>
    </row>
    <row r="192">
      <c r="O192" s="86" t="n"/>
      <c r="U192" s="86" t="n"/>
      <c r="Z192" s="86" t="n"/>
    </row>
    <row r="193">
      <c r="O193" s="86" t="n"/>
      <c r="U193" s="86" t="n"/>
      <c r="Z193" s="86" t="n"/>
    </row>
    <row r="194">
      <c r="O194" s="86" t="n"/>
      <c r="U194" s="86" t="n"/>
      <c r="Z194" s="86" t="n"/>
    </row>
    <row r="195">
      <c r="O195" s="86" t="n"/>
      <c r="U195" s="86" t="n"/>
      <c r="Z195" s="86" t="n"/>
    </row>
    <row r="196">
      <c r="O196" s="86" t="n"/>
      <c r="U196" s="86" t="n"/>
      <c r="Z196" s="86" t="n"/>
    </row>
    <row r="197">
      <c r="O197" s="86" t="n"/>
      <c r="U197" s="86" t="n"/>
      <c r="Z197" s="86" t="n"/>
    </row>
    <row r="198">
      <c r="O198" s="86" t="n"/>
      <c r="U198" s="86" t="n"/>
      <c r="Z198" s="86" t="n"/>
    </row>
    <row r="199">
      <c r="O199" s="86" t="n"/>
      <c r="U199" s="86" t="n"/>
      <c r="Z199" s="86" t="n"/>
    </row>
    <row r="200">
      <c r="O200" s="86" t="n"/>
      <c r="U200" s="86" t="n"/>
      <c r="Z200" s="86" t="n"/>
    </row>
    <row r="201">
      <c r="O201" s="86" t="n"/>
      <c r="U201" s="86" t="n"/>
      <c r="Z201" s="86" t="n"/>
    </row>
    <row r="202">
      <c r="O202" s="86" t="n"/>
      <c r="U202" s="86" t="n"/>
      <c r="Z202" s="86" t="n"/>
    </row>
    <row r="203">
      <c r="O203" s="86" t="n"/>
      <c r="U203" s="86" t="n"/>
      <c r="Z203" s="86" t="n"/>
    </row>
    <row r="204">
      <c r="O204" s="86" t="n"/>
      <c r="U204" s="86" t="n"/>
      <c r="Z204" s="86" t="n"/>
    </row>
  </sheetData>
  <mergeCells count="2">
    <mergeCell ref="A2:AC2"/>
    <mergeCell ref="A1:AC1"/>
  </mergeCells>
  <conditionalFormatting sqref="T5:T204">
    <cfRule type="containsText" priority="1" operator="containsText" dxfId="3" text="Offer"/>
    <cfRule type="containsText" priority="2" operator="containsText" dxfId="1" text="待投递"/>
    <cfRule type="containsText" priority="3" operator="containsText" dxfId="5" text="未通过"/>
  </conditionalFormatting>
  <conditionalFormatting sqref="O5:O204">
    <cfRule type="expression" priority="4" dxfId="6">
      <formula>AND($O5&lt;&gt;"",$O5&gt;=TODAY(),$O5&lt;=TODAY()+7,$T5="待投递")</formula>
    </cfRule>
  </conditionalFormatting>
  <dataValidations count="8">
    <dataValidation sqref="E5:E204" showDropDown="0" showInputMessage="0" showErrorMessage="0" allowBlank="0" type="list">
      <formula1>"AI Agent/大模型应用,算法/机器学习,数据分析/数据开发,游戏开发/游戏策划,工业AI/智能制造,新能源/半导体,冶金/材料/资源环境,通信网络/算网,其他保底岗位"</formula1>
    </dataValidation>
    <dataValidation sqref="L5:L204" showDropDown="0" showInputMessage="0" showErrorMessage="0" allowBlank="0" type="list">
      <formula1>"是,否,待确认"</formula1>
    </dataValidation>
    <dataValidation sqref="P5:P204" showDropDown="0" showInputMessage="0" showErrorMessage="0" allowBlank="0" type="whole" operator="between">
      <formula1>1</formula1>
      <formula2>5</formula2>
    </dataValidation>
    <dataValidation sqref="Q5:Q204" showDropDown="0" showInputMessage="0" showErrorMessage="0" allowBlank="0" type="whole" operator="between">
      <formula1>1</formula1>
      <formula2>5</formula2>
    </dataValidation>
    <dataValidation sqref="R5:R204" showDropDown="0" showInputMessage="0" showErrorMessage="0" allowBlank="0" type="whole" operator="between">
      <formula1>1</formula1>
      <formula2>5</formula2>
    </dataValidation>
    <dataValidation sqref="S5:S204" showDropDown="0" showInputMessage="0" showErrorMessage="0" allowBlank="0" type="list">
      <formula1>"S,A,B,C"</formula1>
    </dataValidation>
    <dataValidation sqref="T5:T204" showDropDown="0" showInputMessage="0" showErrorMessage="0" allowBlank="0" type="list">
      <formula1>"待收集,待投递,已投递,测评,笔试,一面,二面,终面,Offer,已拒绝,未通过,已结束"</formula1>
    </dataValidation>
    <dataValidation sqref="V5:V204" showDropDown="0" showInputMessage="0" showErrorMessage="0" allowBlank="0" type="list">
      <formula1>"公司官网,学校就业网,公众号,BOSS直聘,猎聘,智联招聘,前程无忧,内推,线下双选会,其他"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4"/>
  <sheetViews>
    <sheetView showGridLines="0" workbookViewId="0">
      <selection activeCell="A1" sqref="A1"/>
    </sheetView>
  </sheetViews>
  <sheetFormatPr baseColWidth="8" defaultRowHeight="15"/>
  <cols>
    <col width="12" customWidth="1" style="81" min="1" max="1"/>
    <col width="12" customWidth="1" style="81" min="2" max="2"/>
    <col width="15" customWidth="1" style="81" min="3" max="3"/>
    <col width="22" customWidth="1" style="81" min="4" max="4"/>
    <col width="14" customWidth="1" style="81" min="5" max="5"/>
    <col width="18" customWidth="1" style="81" min="6" max="6"/>
    <col width="12" customWidth="1" style="81" min="7" max="7"/>
    <col width="20" customWidth="1" style="81" min="8" max="8"/>
    <col width="38" customWidth="1" style="81" min="9" max="9"/>
    <col width="32" customWidth="1" style="81" min="10" max="10"/>
    <col width="30" customWidth="1" style="81" min="11" max="11"/>
    <col width="30" customWidth="1" style="81" min="12" max="12"/>
    <col width="14" customWidth="1" style="81" min="13" max="13"/>
    <col width="18" customWidth="1" style="81" min="14" max="14"/>
    <col width="26" customWidth="1" style="81" min="15" max="15"/>
  </cols>
  <sheetData>
    <row r="1" ht="34" customHeight="1" s="81">
      <c r="A1" s="7" t="inlineStr">
        <is>
          <t>面试复盘</t>
        </is>
      </c>
    </row>
    <row r="2" ht="26" customHeight="1" s="81">
      <c r="A2" s="9" t="inlineStr">
        <is>
          <t>面试结束当天完成记录：问题、回答、缺口、下一次改进动作。</t>
        </is>
      </c>
    </row>
    <row r="4" ht="32" customHeight="1" s="81">
      <c r="A4" s="22" t="inlineStr">
        <is>
          <t>面试编号</t>
        </is>
      </c>
      <c r="B4" s="22" t="inlineStr">
        <is>
          <t>岗位编号</t>
        </is>
      </c>
      <c r="C4" s="22" t="inlineStr">
        <is>
          <t>公司简称</t>
        </is>
      </c>
      <c r="D4" s="22" t="inlineStr">
        <is>
          <t>岗位名称</t>
        </is>
      </c>
      <c r="E4" s="22" t="inlineStr">
        <is>
          <t>面试阶段</t>
        </is>
      </c>
      <c r="F4" s="22" t="inlineStr">
        <is>
          <t>面试时间</t>
        </is>
      </c>
      <c r="G4" s="22" t="inlineStr">
        <is>
          <t>形式</t>
        </is>
      </c>
      <c r="H4" s="22" t="inlineStr">
        <is>
          <t>面试官/部门</t>
        </is>
      </c>
      <c r="I4" s="22" t="inlineStr">
        <is>
          <t>问题记录</t>
        </is>
      </c>
      <c r="J4" s="22" t="inlineStr">
        <is>
          <t>回答表现</t>
        </is>
      </c>
      <c r="K4" s="22" t="inlineStr">
        <is>
          <t>暴露的缺口</t>
        </is>
      </c>
      <c r="L4" s="22" t="inlineStr">
        <is>
          <t>改进动作</t>
        </is>
      </c>
      <c r="M4" s="22" t="inlineStr">
        <is>
          <t>结果</t>
        </is>
      </c>
      <c r="N4" s="22" t="inlineStr">
        <is>
          <t>下一节点时间</t>
        </is>
      </c>
      <c r="O4" s="22" t="inlineStr">
        <is>
          <t>备注</t>
        </is>
      </c>
    </row>
    <row r="5" ht="24" customHeight="1" s="81">
      <c r="A5" s="23" t="n"/>
      <c r="B5" s="23" t="n"/>
      <c r="C5" s="23" t="n"/>
      <c r="D5" s="23" t="n"/>
      <c r="E5" s="23" t="n"/>
      <c r="F5" s="87" t="n"/>
      <c r="G5" s="23" t="n"/>
      <c r="H5" s="23" t="n"/>
      <c r="I5" s="23" t="n"/>
      <c r="J5" s="23" t="n"/>
      <c r="K5" s="23" t="n"/>
      <c r="L5" s="23" t="n"/>
      <c r="M5" s="23" t="n"/>
      <c r="N5" s="87" t="n"/>
      <c r="O5" s="23" t="n"/>
    </row>
    <row r="6">
      <c r="F6" s="88" t="n"/>
      <c r="N6" s="88" t="n"/>
    </row>
    <row r="7">
      <c r="F7" s="88" t="n"/>
      <c r="N7" s="88" t="n"/>
    </row>
    <row r="8">
      <c r="F8" s="88" t="n"/>
      <c r="N8" s="88" t="n"/>
    </row>
    <row r="9">
      <c r="F9" s="88" t="n"/>
      <c r="N9" s="88" t="n"/>
    </row>
    <row r="10">
      <c r="F10" s="88" t="n"/>
      <c r="N10" s="88" t="n"/>
    </row>
    <row r="11">
      <c r="F11" s="88" t="n"/>
      <c r="N11" s="88" t="n"/>
    </row>
    <row r="12">
      <c r="F12" s="88" t="n"/>
      <c r="N12" s="88" t="n"/>
    </row>
    <row r="13">
      <c r="F13" s="88" t="n"/>
      <c r="N13" s="88" t="n"/>
    </row>
    <row r="14">
      <c r="F14" s="88" t="n"/>
      <c r="N14" s="88" t="n"/>
    </row>
    <row r="15">
      <c r="F15" s="88" t="n"/>
      <c r="N15" s="88" t="n"/>
    </row>
    <row r="16">
      <c r="F16" s="88" t="n"/>
      <c r="N16" s="88" t="n"/>
    </row>
    <row r="17">
      <c r="F17" s="88" t="n"/>
      <c r="N17" s="88" t="n"/>
    </row>
    <row r="18">
      <c r="F18" s="88" t="n"/>
      <c r="N18" s="88" t="n"/>
    </row>
    <row r="19">
      <c r="F19" s="88" t="n"/>
      <c r="N19" s="88" t="n"/>
    </row>
    <row r="20">
      <c r="F20" s="88" t="n"/>
      <c r="N20" s="88" t="n"/>
    </row>
    <row r="21">
      <c r="F21" s="88" t="n"/>
      <c r="N21" s="88" t="n"/>
    </row>
    <row r="22">
      <c r="F22" s="88" t="n"/>
      <c r="N22" s="88" t="n"/>
    </row>
    <row r="23">
      <c r="F23" s="88" t="n"/>
      <c r="N23" s="88" t="n"/>
    </row>
    <row r="24">
      <c r="F24" s="88" t="n"/>
      <c r="N24" s="88" t="n"/>
    </row>
    <row r="25">
      <c r="F25" s="88" t="n"/>
      <c r="N25" s="88" t="n"/>
    </row>
    <row r="26">
      <c r="F26" s="88" t="n"/>
      <c r="N26" s="88" t="n"/>
    </row>
    <row r="27">
      <c r="F27" s="88" t="n"/>
      <c r="N27" s="88" t="n"/>
    </row>
    <row r="28">
      <c r="F28" s="88" t="n"/>
      <c r="N28" s="88" t="n"/>
    </row>
    <row r="29">
      <c r="F29" s="88" t="n"/>
      <c r="N29" s="88" t="n"/>
    </row>
    <row r="30">
      <c r="F30" s="88" t="n"/>
      <c r="N30" s="88" t="n"/>
    </row>
    <row r="31">
      <c r="F31" s="88" t="n"/>
      <c r="N31" s="88" t="n"/>
    </row>
    <row r="32">
      <c r="F32" s="88" t="n"/>
      <c r="N32" s="88" t="n"/>
    </row>
    <row r="33">
      <c r="F33" s="88" t="n"/>
      <c r="N33" s="88" t="n"/>
    </row>
    <row r="34">
      <c r="F34" s="88" t="n"/>
      <c r="N34" s="88" t="n"/>
    </row>
    <row r="35">
      <c r="F35" s="88" t="n"/>
      <c r="N35" s="88" t="n"/>
    </row>
    <row r="36">
      <c r="F36" s="88" t="n"/>
      <c r="N36" s="88" t="n"/>
    </row>
    <row r="37">
      <c r="F37" s="88" t="n"/>
      <c r="N37" s="88" t="n"/>
    </row>
    <row r="38">
      <c r="F38" s="88" t="n"/>
      <c r="N38" s="88" t="n"/>
    </row>
    <row r="39">
      <c r="F39" s="88" t="n"/>
      <c r="N39" s="88" t="n"/>
    </row>
    <row r="40">
      <c r="F40" s="88" t="n"/>
      <c r="N40" s="88" t="n"/>
    </row>
    <row r="41">
      <c r="F41" s="88" t="n"/>
      <c r="N41" s="88" t="n"/>
    </row>
    <row r="42">
      <c r="F42" s="88" t="n"/>
      <c r="N42" s="88" t="n"/>
    </row>
    <row r="43">
      <c r="F43" s="88" t="n"/>
      <c r="N43" s="88" t="n"/>
    </row>
    <row r="44">
      <c r="F44" s="88" t="n"/>
      <c r="N44" s="88" t="n"/>
    </row>
    <row r="45">
      <c r="F45" s="88" t="n"/>
      <c r="N45" s="88" t="n"/>
    </row>
    <row r="46">
      <c r="F46" s="88" t="n"/>
      <c r="N46" s="88" t="n"/>
    </row>
    <row r="47">
      <c r="F47" s="88" t="n"/>
      <c r="N47" s="88" t="n"/>
    </row>
    <row r="48">
      <c r="F48" s="88" t="n"/>
      <c r="N48" s="88" t="n"/>
    </row>
    <row r="49">
      <c r="F49" s="88" t="n"/>
      <c r="N49" s="88" t="n"/>
    </row>
    <row r="50">
      <c r="F50" s="88" t="n"/>
      <c r="N50" s="88" t="n"/>
    </row>
    <row r="51">
      <c r="F51" s="88" t="n"/>
      <c r="N51" s="88" t="n"/>
    </row>
    <row r="52">
      <c r="F52" s="88" t="n"/>
      <c r="N52" s="88" t="n"/>
    </row>
    <row r="53">
      <c r="F53" s="88" t="n"/>
      <c r="N53" s="88" t="n"/>
    </row>
    <row r="54">
      <c r="F54" s="88" t="n"/>
      <c r="N54" s="88" t="n"/>
    </row>
    <row r="55">
      <c r="F55" s="88" t="n"/>
      <c r="N55" s="88" t="n"/>
    </row>
    <row r="56">
      <c r="F56" s="88" t="n"/>
      <c r="N56" s="88" t="n"/>
    </row>
    <row r="57">
      <c r="F57" s="88" t="n"/>
      <c r="N57" s="88" t="n"/>
    </row>
    <row r="58">
      <c r="F58" s="88" t="n"/>
      <c r="N58" s="88" t="n"/>
    </row>
    <row r="59">
      <c r="F59" s="88" t="n"/>
      <c r="N59" s="88" t="n"/>
    </row>
    <row r="60">
      <c r="F60" s="88" t="n"/>
      <c r="N60" s="88" t="n"/>
    </row>
    <row r="61">
      <c r="F61" s="88" t="n"/>
      <c r="N61" s="88" t="n"/>
    </row>
    <row r="62">
      <c r="F62" s="88" t="n"/>
      <c r="N62" s="88" t="n"/>
    </row>
    <row r="63">
      <c r="F63" s="88" t="n"/>
      <c r="N63" s="88" t="n"/>
    </row>
    <row r="64">
      <c r="F64" s="88" t="n"/>
      <c r="N64" s="88" t="n"/>
    </row>
    <row r="65">
      <c r="F65" s="88" t="n"/>
      <c r="N65" s="88" t="n"/>
    </row>
    <row r="66">
      <c r="F66" s="88" t="n"/>
      <c r="N66" s="88" t="n"/>
    </row>
    <row r="67">
      <c r="F67" s="88" t="n"/>
      <c r="N67" s="88" t="n"/>
    </row>
    <row r="68">
      <c r="F68" s="88" t="n"/>
      <c r="N68" s="88" t="n"/>
    </row>
    <row r="69">
      <c r="F69" s="88" t="n"/>
      <c r="N69" s="88" t="n"/>
    </row>
    <row r="70">
      <c r="F70" s="88" t="n"/>
      <c r="N70" s="88" t="n"/>
    </row>
    <row r="71">
      <c r="F71" s="88" t="n"/>
      <c r="N71" s="88" t="n"/>
    </row>
    <row r="72">
      <c r="F72" s="88" t="n"/>
      <c r="N72" s="88" t="n"/>
    </row>
    <row r="73">
      <c r="F73" s="88" t="n"/>
      <c r="N73" s="88" t="n"/>
    </row>
    <row r="74">
      <c r="F74" s="88" t="n"/>
      <c r="N74" s="88" t="n"/>
    </row>
    <row r="75">
      <c r="F75" s="88" t="n"/>
      <c r="N75" s="88" t="n"/>
    </row>
    <row r="76">
      <c r="F76" s="88" t="n"/>
      <c r="N76" s="88" t="n"/>
    </row>
    <row r="77">
      <c r="F77" s="88" t="n"/>
      <c r="N77" s="88" t="n"/>
    </row>
    <row r="78">
      <c r="F78" s="88" t="n"/>
      <c r="N78" s="88" t="n"/>
    </row>
    <row r="79">
      <c r="F79" s="88" t="n"/>
      <c r="N79" s="88" t="n"/>
    </row>
    <row r="80">
      <c r="F80" s="88" t="n"/>
      <c r="N80" s="88" t="n"/>
    </row>
    <row r="81">
      <c r="F81" s="88" t="n"/>
      <c r="N81" s="88" t="n"/>
    </row>
    <row r="82">
      <c r="F82" s="88" t="n"/>
      <c r="N82" s="88" t="n"/>
    </row>
    <row r="83">
      <c r="F83" s="88" t="n"/>
      <c r="N83" s="88" t="n"/>
    </row>
    <row r="84">
      <c r="F84" s="88" t="n"/>
      <c r="N84" s="88" t="n"/>
    </row>
    <row r="85">
      <c r="F85" s="88" t="n"/>
      <c r="N85" s="88" t="n"/>
    </row>
    <row r="86">
      <c r="F86" s="88" t="n"/>
      <c r="N86" s="88" t="n"/>
    </row>
    <row r="87">
      <c r="F87" s="88" t="n"/>
      <c r="N87" s="88" t="n"/>
    </row>
    <row r="88">
      <c r="F88" s="88" t="n"/>
      <c r="N88" s="88" t="n"/>
    </row>
    <row r="89">
      <c r="F89" s="88" t="n"/>
      <c r="N89" s="88" t="n"/>
    </row>
    <row r="90">
      <c r="F90" s="88" t="n"/>
      <c r="N90" s="88" t="n"/>
    </row>
    <row r="91">
      <c r="F91" s="88" t="n"/>
      <c r="N91" s="88" t="n"/>
    </row>
    <row r="92">
      <c r="F92" s="88" t="n"/>
      <c r="N92" s="88" t="n"/>
    </row>
    <row r="93">
      <c r="F93" s="88" t="n"/>
      <c r="N93" s="88" t="n"/>
    </row>
    <row r="94">
      <c r="F94" s="88" t="n"/>
      <c r="N94" s="88" t="n"/>
    </row>
    <row r="95">
      <c r="F95" s="88" t="n"/>
      <c r="N95" s="88" t="n"/>
    </row>
    <row r="96">
      <c r="F96" s="88" t="n"/>
      <c r="N96" s="88" t="n"/>
    </row>
    <row r="97">
      <c r="F97" s="88" t="n"/>
      <c r="N97" s="88" t="n"/>
    </row>
    <row r="98">
      <c r="F98" s="88" t="n"/>
      <c r="N98" s="88" t="n"/>
    </row>
    <row r="99">
      <c r="F99" s="88" t="n"/>
      <c r="N99" s="88" t="n"/>
    </row>
    <row r="100">
      <c r="F100" s="88" t="n"/>
      <c r="N100" s="88" t="n"/>
    </row>
    <row r="101">
      <c r="F101" s="88" t="n"/>
      <c r="N101" s="88" t="n"/>
    </row>
    <row r="102">
      <c r="F102" s="88" t="n"/>
      <c r="N102" s="88" t="n"/>
    </row>
    <row r="103">
      <c r="F103" s="88" t="n"/>
      <c r="N103" s="88" t="n"/>
    </row>
    <row r="104">
      <c r="F104" s="88" t="n"/>
      <c r="N104" s="88" t="n"/>
    </row>
    <row r="105">
      <c r="F105" s="88" t="n"/>
      <c r="N105" s="88" t="n"/>
    </row>
    <row r="106">
      <c r="F106" s="88" t="n"/>
      <c r="N106" s="88" t="n"/>
    </row>
    <row r="107">
      <c r="F107" s="88" t="n"/>
      <c r="N107" s="88" t="n"/>
    </row>
    <row r="108">
      <c r="F108" s="88" t="n"/>
      <c r="N108" s="88" t="n"/>
    </row>
    <row r="109">
      <c r="F109" s="88" t="n"/>
      <c r="N109" s="88" t="n"/>
    </row>
    <row r="110">
      <c r="F110" s="88" t="n"/>
      <c r="N110" s="88" t="n"/>
    </row>
    <row r="111">
      <c r="F111" s="88" t="n"/>
      <c r="N111" s="88" t="n"/>
    </row>
    <row r="112">
      <c r="F112" s="88" t="n"/>
      <c r="N112" s="88" t="n"/>
    </row>
    <row r="113">
      <c r="F113" s="88" t="n"/>
      <c r="N113" s="88" t="n"/>
    </row>
    <row r="114">
      <c r="F114" s="88" t="n"/>
      <c r="N114" s="88" t="n"/>
    </row>
    <row r="115">
      <c r="F115" s="88" t="n"/>
      <c r="N115" s="88" t="n"/>
    </row>
    <row r="116">
      <c r="F116" s="88" t="n"/>
      <c r="N116" s="88" t="n"/>
    </row>
    <row r="117">
      <c r="F117" s="88" t="n"/>
      <c r="N117" s="88" t="n"/>
    </row>
    <row r="118">
      <c r="F118" s="88" t="n"/>
      <c r="N118" s="88" t="n"/>
    </row>
    <row r="119">
      <c r="F119" s="88" t="n"/>
      <c r="N119" s="88" t="n"/>
    </row>
    <row r="120">
      <c r="F120" s="88" t="n"/>
      <c r="N120" s="88" t="n"/>
    </row>
    <row r="121">
      <c r="F121" s="88" t="n"/>
      <c r="N121" s="88" t="n"/>
    </row>
    <row r="122">
      <c r="F122" s="88" t="n"/>
      <c r="N122" s="88" t="n"/>
    </row>
    <row r="123">
      <c r="F123" s="88" t="n"/>
      <c r="N123" s="88" t="n"/>
    </row>
    <row r="124">
      <c r="F124" s="88" t="n"/>
      <c r="N124" s="88" t="n"/>
    </row>
    <row r="125">
      <c r="F125" s="88" t="n"/>
      <c r="N125" s="88" t="n"/>
    </row>
    <row r="126">
      <c r="F126" s="88" t="n"/>
      <c r="N126" s="88" t="n"/>
    </row>
    <row r="127">
      <c r="F127" s="88" t="n"/>
      <c r="N127" s="88" t="n"/>
    </row>
    <row r="128">
      <c r="F128" s="88" t="n"/>
      <c r="N128" s="88" t="n"/>
    </row>
    <row r="129">
      <c r="F129" s="88" t="n"/>
      <c r="N129" s="88" t="n"/>
    </row>
    <row r="130">
      <c r="F130" s="88" t="n"/>
      <c r="N130" s="88" t="n"/>
    </row>
    <row r="131">
      <c r="F131" s="88" t="n"/>
      <c r="N131" s="88" t="n"/>
    </row>
    <row r="132">
      <c r="F132" s="88" t="n"/>
      <c r="N132" s="88" t="n"/>
    </row>
    <row r="133">
      <c r="F133" s="88" t="n"/>
      <c r="N133" s="88" t="n"/>
    </row>
    <row r="134">
      <c r="F134" s="88" t="n"/>
      <c r="N134" s="88" t="n"/>
    </row>
    <row r="135">
      <c r="F135" s="88" t="n"/>
      <c r="N135" s="88" t="n"/>
    </row>
    <row r="136">
      <c r="F136" s="88" t="n"/>
      <c r="N136" s="88" t="n"/>
    </row>
    <row r="137">
      <c r="F137" s="88" t="n"/>
      <c r="N137" s="88" t="n"/>
    </row>
    <row r="138">
      <c r="F138" s="88" t="n"/>
      <c r="N138" s="88" t="n"/>
    </row>
    <row r="139">
      <c r="F139" s="88" t="n"/>
      <c r="N139" s="88" t="n"/>
    </row>
    <row r="140">
      <c r="F140" s="88" t="n"/>
      <c r="N140" s="88" t="n"/>
    </row>
    <row r="141">
      <c r="F141" s="88" t="n"/>
      <c r="N141" s="88" t="n"/>
    </row>
    <row r="142">
      <c r="F142" s="88" t="n"/>
      <c r="N142" s="88" t="n"/>
    </row>
    <row r="143">
      <c r="F143" s="88" t="n"/>
      <c r="N143" s="88" t="n"/>
    </row>
    <row r="144">
      <c r="F144" s="88" t="n"/>
      <c r="N144" s="88" t="n"/>
    </row>
    <row r="145">
      <c r="F145" s="88" t="n"/>
      <c r="N145" s="88" t="n"/>
    </row>
    <row r="146">
      <c r="F146" s="88" t="n"/>
      <c r="N146" s="88" t="n"/>
    </row>
    <row r="147">
      <c r="F147" s="88" t="n"/>
      <c r="N147" s="88" t="n"/>
    </row>
    <row r="148">
      <c r="F148" s="88" t="n"/>
      <c r="N148" s="88" t="n"/>
    </row>
    <row r="149">
      <c r="F149" s="88" t="n"/>
      <c r="N149" s="88" t="n"/>
    </row>
    <row r="150">
      <c r="F150" s="88" t="n"/>
      <c r="N150" s="88" t="n"/>
    </row>
    <row r="151">
      <c r="F151" s="88" t="n"/>
      <c r="N151" s="88" t="n"/>
    </row>
    <row r="152">
      <c r="F152" s="88" t="n"/>
      <c r="N152" s="88" t="n"/>
    </row>
    <row r="153">
      <c r="F153" s="88" t="n"/>
      <c r="N153" s="88" t="n"/>
    </row>
    <row r="154">
      <c r="F154" s="88" t="n"/>
      <c r="N154" s="88" t="n"/>
    </row>
    <row r="155">
      <c r="F155" s="88" t="n"/>
      <c r="N155" s="88" t="n"/>
    </row>
    <row r="156">
      <c r="F156" s="88" t="n"/>
      <c r="N156" s="88" t="n"/>
    </row>
    <row r="157">
      <c r="F157" s="88" t="n"/>
      <c r="N157" s="88" t="n"/>
    </row>
    <row r="158">
      <c r="F158" s="88" t="n"/>
      <c r="N158" s="88" t="n"/>
    </row>
    <row r="159">
      <c r="F159" s="88" t="n"/>
      <c r="N159" s="88" t="n"/>
    </row>
    <row r="160">
      <c r="F160" s="88" t="n"/>
      <c r="N160" s="88" t="n"/>
    </row>
    <row r="161">
      <c r="F161" s="88" t="n"/>
      <c r="N161" s="88" t="n"/>
    </row>
    <row r="162">
      <c r="F162" s="88" t="n"/>
      <c r="N162" s="88" t="n"/>
    </row>
    <row r="163">
      <c r="F163" s="88" t="n"/>
      <c r="N163" s="88" t="n"/>
    </row>
    <row r="164">
      <c r="F164" s="88" t="n"/>
      <c r="N164" s="88" t="n"/>
    </row>
    <row r="165">
      <c r="F165" s="88" t="n"/>
      <c r="N165" s="88" t="n"/>
    </row>
    <row r="166">
      <c r="F166" s="88" t="n"/>
      <c r="N166" s="88" t="n"/>
    </row>
    <row r="167">
      <c r="F167" s="88" t="n"/>
      <c r="N167" s="88" t="n"/>
    </row>
    <row r="168">
      <c r="F168" s="88" t="n"/>
      <c r="N168" s="88" t="n"/>
    </row>
    <row r="169">
      <c r="F169" s="88" t="n"/>
      <c r="N169" s="88" t="n"/>
    </row>
    <row r="170">
      <c r="F170" s="88" t="n"/>
      <c r="N170" s="88" t="n"/>
    </row>
    <row r="171">
      <c r="F171" s="88" t="n"/>
      <c r="N171" s="88" t="n"/>
    </row>
    <row r="172">
      <c r="F172" s="88" t="n"/>
      <c r="N172" s="88" t="n"/>
    </row>
    <row r="173">
      <c r="F173" s="88" t="n"/>
      <c r="N173" s="88" t="n"/>
    </row>
    <row r="174">
      <c r="F174" s="88" t="n"/>
      <c r="N174" s="88" t="n"/>
    </row>
    <row r="175">
      <c r="F175" s="88" t="n"/>
      <c r="N175" s="88" t="n"/>
    </row>
    <row r="176">
      <c r="F176" s="88" t="n"/>
      <c r="N176" s="88" t="n"/>
    </row>
    <row r="177">
      <c r="F177" s="88" t="n"/>
      <c r="N177" s="88" t="n"/>
    </row>
    <row r="178">
      <c r="F178" s="88" t="n"/>
      <c r="N178" s="88" t="n"/>
    </row>
    <row r="179">
      <c r="F179" s="88" t="n"/>
      <c r="N179" s="88" t="n"/>
    </row>
    <row r="180">
      <c r="F180" s="88" t="n"/>
      <c r="N180" s="88" t="n"/>
    </row>
    <row r="181">
      <c r="F181" s="88" t="n"/>
      <c r="N181" s="88" t="n"/>
    </row>
    <row r="182">
      <c r="F182" s="88" t="n"/>
      <c r="N182" s="88" t="n"/>
    </row>
    <row r="183">
      <c r="F183" s="88" t="n"/>
      <c r="N183" s="88" t="n"/>
    </row>
    <row r="184">
      <c r="F184" s="88" t="n"/>
      <c r="N184" s="88" t="n"/>
    </row>
    <row r="185">
      <c r="F185" s="88" t="n"/>
      <c r="N185" s="88" t="n"/>
    </row>
    <row r="186">
      <c r="F186" s="88" t="n"/>
      <c r="N186" s="88" t="n"/>
    </row>
    <row r="187">
      <c r="F187" s="88" t="n"/>
      <c r="N187" s="88" t="n"/>
    </row>
    <row r="188">
      <c r="F188" s="88" t="n"/>
      <c r="N188" s="88" t="n"/>
    </row>
    <row r="189">
      <c r="F189" s="88" t="n"/>
      <c r="N189" s="88" t="n"/>
    </row>
    <row r="190">
      <c r="F190" s="88" t="n"/>
      <c r="N190" s="88" t="n"/>
    </row>
    <row r="191">
      <c r="F191" s="88" t="n"/>
      <c r="N191" s="88" t="n"/>
    </row>
    <row r="192">
      <c r="F192" s="88" t="n"/>
      <c r="N192" s="88" t="n"/>
    </row>
    <row r="193">
      <c r="F193" s="88" t="n"/>
      <c r="N193" s="88" t="n"/>
    </row>
    <row r="194">
      <c r="F194" s="88" t="n"/>
      <c r="N194" s="88" t="n"/>
    </row>
    <row r="195">
      <c r="F195" s="88" t="n"/>
      <c r="N195" s="88" t="n"/>
    </row>
    <row r="196">
      <c r="F196" s="88" t="n"/>
      <c r="N196" s="88" t="n"/>
    </row>
    <row r="197">
      <c r="F197" s="88" t="n"/>
      <c r="N197" s="88" t="n"/>
    </row>
    <row r="198">
      <c r="F198" s="88" t="n"/>
      <c r="N198" s="88" t="n"/>
    </row>
    <row r="199">
      <c r="F199" s="88" t="n"/>
      <c r="N199" s="88" t="n"/>
    </row>
    <row r="200">
      <c r="F200" s="88" t="n"/>
      <c r="N200" s="88" t="n"/>
    </row>
    <row r="201">
      <c r="F201" s="88" t="n"/>
      <c r="N201" s="88" t="n"/>
    </row>
    <row r="202">
      <c r="F202" s="88" t="n"/>
      <c r="N202" s="88" t="n"/>
    </row>
    <row r="203">
      <c r="F203" s="88" t="n"/>
      <c r="N203" s="88" t="n"/>
    </row>
    <row r="204">
      <c r="F204" s="88" t="n"/>
      <c r="N204" s="88" t="n"/>
    </row>
  </sheetData>
  <mergeCells count="2">
    <mergeCell ref="A1:O1"/>
    <mergeCell ref="A2:O2"/>
  </mergeCells>
  <conditionalFormatting sqref="M5:M204">
    <cfRule type="containsText" priority="1" operator="containsText" dxfId="2" text="通过"/>
    <cfRule type="containsText" priority="2" operator="containsText" dxfId="5" text="未通过"/>
  </conditionalFormatting>
  <dataValidations count="3">
    <dataValidation sqref="E5:E204" showDropDown="0" showInputMessage="0" showErrorMessage="0" allowBlank="0" type="list">
      <formula1>"一面,二面,终面,HR面,其他"</formula1>
    </dataValidation>
    <dataValidation sqref="G5:G204" showDropDown="0" showInputMessage="0" showErrorMessage="0" allowBlank="0" type="list">
      <formula1>"线上,线下,电话,其他"</formula1>
    </dataValidation>
    <dataValidation sqref="M5:M204" showDropDown="0" showInputMessage="0" showErrorMessage="0" allowBlank="0" type="list">
      <formula1>"待进行,待通知,通过,未通过,取消"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04"/>
  <sheetViews>
    <sheetView showGridLines="0" workbookViewId="0">
      <selection activeCell="A1" sqref="A1"/>
    </sheetView>
  </sheetViews>
  <sheetFormatPr baseColWidth="8" defaultRowHeight="15"/>
  <cols>
    <col width="15" customWidth="1" style="81" min="1" max="1"/>
    <col width="24" customWidth="1" style="81" min="2" max="2"/>
    <col width="14" customWidth="1" style="81" min="3" max="3"/>
    <col width="14" customWidth="1" style="81" min="4" max="4"/>
    <col width="14" customWidth="1" style="81" min="5" max="5"/>
    <col width="10" customWidth="1" style="81" min="6" max="6"/>
    <col width="14" customWidth="1" style="81" min="7" max="7"/>
    <col width="16" customWidth="1" style="81" min="8" max="8"/>
    <col width="22" customWidth="1" style="81" min="9" max="9"/>
    <col width="18" customWidth="1" style="81" min="10" max="10"/>
    <col width="18" customWidth="1" style="81" min="11" max="11"/>
    <col width="14" customWidth="1" style="81" min="12" max="12"/>
    <col width="18" customWidth="1" style="81" min="13" max="13"/>
    <col width="16" customWidth="1" style="81" min="14" max="14"/>
    <col width="16" customWidth="1" style="81" min="15" max="15"/>
    <col width="16" customWidth="1" style="81" min="16" max="16"/>
    <col width="24" customWidth="1" style="81" min="17" max="17"/>
    <col width="28" customWidth="1" style="81" min="18" max="18"/>
    <col width="16" customWidth="1" style="81" min="19" max="19"/>
    <col width="15" customWidth="1" style="81" min="20" max="20"/>
    <col width="14" customWidth="1" style="81" min="21" max="21"/>
    <col width="26" customWidth="1" style="81" min="22" max="22"/>
  </cols>
  <sheetData>
    <row r="1" ht="34" customHeight="1" s="81">
      <c r="A1" s="7" t="inlineStr">
        <is>
          <t>Offer比较</t>
        </is>
      </c>
    </row>
    <row r="2" ht="26" customHeight="1" s="81">
      <c r="A2" s="9" t="inlineStr">
        <is>
          <t>薪资均填税前；年包估算为月薪区间均值×薪数＋明确奖金，不含不确定补贴。</t>
        </is>
      </c>
    </row>
    <row r="4" ht="32" customHeight="1" s="81">
      <c r="A4" s="22" t="inlineStr">
        <is>
          <t>公司简称</t>
        </is>
      </c>
      <c r="B4" s="22" t="inlineStr">
        <is>
          <t>岗位名称</t>
        </is>
      </c>
      <c r="C4" s="22" t="inlineStr">
        <is>
          <t>城市</t>
        </is>
      </c>
      <c r="D4" s="22" t="inlineStr">
        <is>
          <t>月薪下限</t>
        </is>
      </c>
      <c r="E4" s="22" t="inlineStr">
        <is>
          <t>月薪上限</t>
        </is>
      </c>
      <c r="F4" s="22" t="inlineStr">
        <is>
          <t>薪数</t>
        </is>
      </c>
      <c r="G4" s="22" t="inlineStr">
        <is>
          <t>明确奖金</t>
        </is>
      </c>
      <c r="H4" s="22" t="inlineStr">
        <is>
          <t>估算年包</t>
        </is>
      </c>
      <c r="I4" s="22" t="inlineStr">
        <is>
          <t>住房/人才补贴</t>
        </is>
      </c>
      <c r="J4" s="22" t="inlineStr">
        <is>
          <t>试用期</t>
        </is>
      </c>
      <c r="K4" s="22" t="inlineStr">
        <is>
          <t>工作时长</t>
        </is>
      </c>
      <c r="L4" s="22" t="inlineStr">
        <is>
          <t>双休情况</t>
        </is>
      </c>
      <c r="M4" s="22" t="inlineStr">
        <is>
          <t>出差/倒班</t>
        </is>
      </c>
      <c r="N4" s="22" t="inlineStr">
        <is>
          <t>成长空间(1-5)</t>
        </is>
      </c>
      <c r="O4" s="22" t="inlineStr">
        <is>
          <t>方向匹配(1-5)</t>
        </is>
      </c>
      <c r="P4" s="22" t="inlineStr">
        <is>
          <t>稳定性(1-5)</t>
        </is>
      </c>
      <c r="Q4" s="22" t="inlineStr">
        <is>
          <t>培养与晋升</t>
        </is>
      </c>
      <c r="R4" s="22" t="inlineStr">
        <is>
          <t>风险点</t>
        </is>
      </c>
      <c r="S4" s="22" t="inlineStr">
        <is>
          <t>综合评分(1-5)</t>
        </is>
      </c>
      <c r="T4" s="22" t="inlineStr">
        <is>
          <t>回复截止日</t>
        </is>
      </c>
      <c r="U4" s="22" t="inlineStr">
        <is>
          <t>最终决定</t>
        </is>
      </c>
      <c r="V4" s="22" t="inlineStr">
        <is>
          <t>备注</t>
        </is>
      </c>
    </row>
    <row r="5" ht="24" customHeight="1" s="81">
      <c r="A5" s="23" t="n"/>
      <c r="B5" s="23" t="n"/>
      <c r="C5" s="23" t="n"/>
      <c r="D5" s="89" t="n"/>
      <c r="E5" s="89" t="n"/>
      <c r="F5" s="89" t="n"/>
      <c r="G5" s="89" t="n"/>
      <c r="H5" s="89">
        <f>IF(OR(D5="",E5="",F5=""),"",AVERAGE(D5:E5)*F5+IF(G5="",0,G5))</f>
        <v/>
      </c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90" t="n"/>
      <c r="U5" s="23" t="n"/>
      <c r="V5" s="23" t="n"/>
    </row>
    <row r="6">
      <c r="D6" s="91" t="n"/>
      <c r="E6" s="91" t="n"/>
      <c r="F6" s="91" t="n"/>
      <c r="G6" s="91" t="n"/>
      <c r="H6" s="91" t="n"/>
      <c r="T6" s="86" t="n"/>
    </row>
    <row r="7">
      <c r="D7" s="91" t="n"/>
      <c r="E7" s="91" t="n"/>
      <c r="F7" s="91" t="n"/>
      <c r="G7" s="91" t="n"/>
      <c r="H7" s="91" t="n"/>
      <c r="T7" s="86" t="n"/>
    </row>
    <row r="8">
      <c r="D8" s="91" t="n"/>
      <c r="E8" s="91" t="n"/>
      <c r="F8" s="91" t="n"/>
      <c r="G8" s="91" t="n"/>
      <c r="H8" s="91" t="n"/>
      <c r="T8" s="86" t="n"/>
    </row>
    <row r="9">
      <c r="D9" s="91" t="n"/>
      <c r="E9" s="91" t="n"/>
      <c r="F9" s="91" t="n"/>
      <c r="G9" s="91" t="n"/>
      <c r="H9" s="91" t="n"/>
      <c r="T9" s="86" t="n"/>
    </row>
    <row r="10">
      <c r="D10" s="91" t="n"/>
      <c r="E10" s="91" t="n"/>
      <c r="F10" s="91" t="n"/>
      <c r="G10" s="91" t="n"/>
      <c r="H10" s="91" t="n"/>
      <c r="T10" s="86" t="n"/>
    </row>
    <row r="11">
      <c r="D11" s="91" t="n"/>
      <c r="E11" s="91" t="n"/>
      <c r="F11" s="91" t="n"/>
      <c r="G11" s="91" t="n"/>
      <c r="H11" s="91" t="n"/>
      <c r="T11" s="86" t="n"/>
    </row>
    <row r="12">
      <c r="D12" s="91" t="n"/>
      <c r="E12" s="91" t="n"/>
      <c r="F12" s="91" t="n"/>
      <c r="G12" s="91" t="n"/>
      <c r="H12" s="91" t="n"/>
      <c r="T12" s="86" t="n"/>
    </row>
    <row r="13">
      <c r="D13" s="91" t="n"/>
      <c r="E13" s="91" t="n"/>
      <c r="F13" s="91" t="n"/>
      <c r="G13" s="91" t="n"/>
      <c r="H13" s="91" t="n"/>
      <c r="T13" s="86" t="n"/>
    </row>
    <row r="14">
      <c r="D14" s="91" t="n"/>
      <c r="E14" s="91" t="n"/>
      <c r="F14" s="91" t="n"/>
      <c r="G14" s="91" t="n"/>
      <c r="H14" s="91" t="n"/>
      <c r="T14" s="86" t="n"/>
    </row>
    <row r="15">
      <c r="D15" s="91" t="n"/>
      <c r="E15" s="91" t="n"/>
      <c r="F15" s="91" t="n"/>
      <c r="G15" s="91" t="n"/>
      <c r="H15" s="91" t="n"/>
      <c r="T15" s="86" t="n"/>
    </row>
    <row r="16">
      <c r="D16" s="91" t="n"/>
      <c r="E16" s="91" t="n"/>
      <c r="F16" s="91" t="n"/>
      <c r="G16" s="91" t="n"/>
      <c r="H16" s="91" t="n"/>
      <c r="T16" s="86" t="n"/>
    </row>
    <row r="17">
      <c r="D17" s="91" t="n"/>
      <c r="E17" s="91" t="n"/>
      <c r="F17" s="91" t="n"/>
      <c r="G17" s="91" t="n"/>
      <c r="H17" s="91" t="n"/>
      <c r="T17" s="86" t="n"/>
    </row>
    <row r="18">
      <c r="D18" s="91" t="n"/>
      <c r="E18" s="91" t="n"/>
      <c r="F18" s="91" t="n"/>
      <c r="G18" s="91" t="n"/>
      <c r="H18" s="91" t="n"/>
      <c r="T18" s="86" t="n"/>
    </row>
    <row r="19">
      <c r="D19" s="91" t="n"/>
      <c r="E19" s="91" t="n"/>
      <c r="F19" s="91" t="n"/>
      <c r="G19" s="91" t="n"/>
      <c r="H19" s="91" t="n"/>
      <c r="T19" s="86" t="n"/>
    </row>
    <row r="20">
      <c r="D20" s="91" t="n"/>
      <c r="E20" s="91" t="n"/>
      <c r="F20" s="91" t="n"/>
      <c r="G20" s="91" t="n"/>
      <c r="H20" s="91" t="n"/>
      <c r="T20" s="86" t="n"/>
    </row>
    <row r="21">
      <c r="D21" s="91" t="n"/>
      <c r="E21" s="91" t="n"/>
      <c r="F21" s="91" t="n"/>
      <c r="G21" s="91" t="n"/>
      <c r="H21" s="91" t="n"/>
      <c r="T21" s="86" t="n"/>
    </row>
    <row r="22">
      <c r="D22" s="91" t="n"/>
      <c r="E22" s="91" t="n"/>
      <c r="F22" s="91" t="n"/>
      <c r="G22" s="91" t="n"/>
      <c r="H22" s="91" t="n"/>
      <c r="T22" s="86" t="n"/>
    </row>
    <row r="23">
      <c r="D23" s="91" t="n"/>
      <c r="E23" s="91" t="n"/>
      <c r="F23" s="91" t="n"/>
      <c r="G23" s="91" t="n"/>
      <c r="H23" s="91" t="n"/>
      <c r="T23" s="86" t="n"/>
    </row>
    <row r="24">
      <c r="D24" s="91" t="n"/>
      <c r="E24" s="91" t="n"/>
      <c r="F24" s="91" t="n"/>
      <c r="G24" s="91" t="n"/>
      <c r="H24" s="91" t="n"/>
      <c r="T24" s="86" t="n"/>
    </row>
    <row r="25">
      <c r="D25" s="91" t="n"/>
      <c r="E25" s="91" t="n"/>
      <c r="F25" s="91" t="n"/>
      <c r="G25" s="91" t="n"/>
      <c r="H25" s="91" t="n"/>
      <c r="T25" s="86" t="n"/>
    </row>
    <row r="26">
      <c r="D26" s="91" t="n"/>
      <c r="E26" s="91" t="n"/>
      <c r="F26" s="91" t="n"/>
      <c r="G26" s="91" t="n"/>
      <c r="H26" s="91" t="n"/>
      <c r="T26" s="86" t="n"/>
    </row>
    <row r="27">
      <c r="D27" s="91" t="n"/>
      <c r="E27" s="91" t="n"/>
      <c r="F27" s="91" t="n"/>
      <c r="G27" s="91" t="n"/>
      <c r="H27" s="91" t="n"/>
      <c r="T27" s="86" t="n"/>
    </row>
    <row r="28">
      <c r="D28" s="91" t="n"/>
      <c r="E28" s="91" t="n"/>
      <c r="F28" s="91" t="n"/>
      <c r="G28" s="91" t="n"/>
      <c r="H28" s="91" t="n"/>
      <c r="T28" s="86" t="n"/>
    </row>
    <row r="29">
      <c r="D29" s="91" t="n"/>
      <c r="E29" s="91" t="n"/>
      <c r="F29" s="91" t="n"/>
      <c r="G29" s="91" t="n"/>
      <c r="H29" s="91" t="n"/>
      <c r="T29" s="86" t="n"/>
    </row>
    <row r="30">
      <c r="D30" s="91" t="n"/>
      <c r="E30" s="91" t="n"/>
      <c r="F30" s="91" t="n"/>
      <c r="G30" s="91" t="n"/>
      <c r="H30" s="91" t="n"/>
      <c r="T30" s="86" t="n"/>
    </row>
    <row r="31">
      <c r="D31" s="91" t="n"/>
      <c r="E31" s="91" t="n"/>
      <c r="F31" s="91" t="n"/>
      <c r="G31" s="91" t="n"/>
      <c r="H31" s="91" t="n"/>
      <c r="T31" s="86" t="n"/>
    </row>
    <row r="32">
      <c r="D32" s="91" t="n"/>
      <c r="E32" s="91" t="n"/>
      <c r="F32" s="91" t="n"/>
      <c r="G32" s="91" t="n"/>
      <c r="H32" s="91" t="n"/>
      <c r="T32" s="86" t="n"/>
    </row>
    <row r="33">
      <c r="D33" s="91" t="n"/>
      <c r="E33" s="91" t="n"/>
      <c r="F33" s="91" t="n"/>
      <c r="G33" s="91" t="n"/>
      <c r="H33" s="91" t="n"/>
      <c r="T33" s="86" t="n"/>
    </row>
    <row r="34">
      <c r="D34" s="91" t="n"/>
      <c r="E34" s="91" t="n"/>
      <c r="F34" s="91" t="n"/>
      <c r="G34" s="91" t="n"/>
      <c r="H34" s="91" t="n"/>
      <c r="T34" s="86" t="n"/>
    </row>
    <row r="35">
      <c r="D35" s="91" t="n"/>
      <c r="E35" s="91" t="n"/>
      <c r="F35" s="91" t="n"/>
      <c r="G35" s="91" t="n"/>
      <c r="H35" s="91" t="n"/>
      <c r="T35" s="86" t="n"/>
    </row>
    <row r="36">
      <c r="D36" s="91" t="n"/>
      <c r="E36" s="91" t="n"/>
      <c r="F36" s="91" t="n"/>
      <c r="G36" s="91" t="n"/>
      <c r="H36" s="91" t="n"/>
      <c r="T36" s="86" t="n"/>
    </row>
    <row r="37">
      <c r="D37" s="91" t="n"/>
      <c r="E37" s="91" t="n"/>
      <c r="F37" s="91" t="n"/>
      <c r="G37" s="91" t="n"/>
      <c r="H37" s="91" t="n"/>
      <c r="T37" s="86" t="n"/>
    </row>
    <row r="38">
      <c r="D38" s="91" t="n"/>
      <c r="E38" s="91" t="n"/>
      <c r="F38" s="91" t="n"/>
      <c r="G38" s="91" t="n"/>
      <c r="H38" s="91" t="n"/>
      <c r="T38" s="86" t="n"/>
    </row>
    <row r="39">
      <c r="D39" s="91" t="n"/>
      <c r="E39" s="91" t="n"/>
      <c r="F39" s="91" t="n"/>
      <c r="G39" s="91" t="n"/>
      <c r="H39" s="91" t="n"/>
      <c r="T39" s="86" t="n"/>
    </row>
    <row r="40">
      <c r="D40" s="91" t="n"/>
      <c r="E40" s="91" t="n"/>
      <c r="F40" s="91" t="n"/>
      <c r="G40" s="91" t="n"/>
      <c r="H40" s="91" t="n"/>
      <c r="T40" s="86" t="n"/>
    </row>
    <row r="41">
      <c r="D41" s="91" t="n"/>
      <c r="E41" s="91" t="n"/>
      <c r="F41" s="91" t="n"/>
      <c r="G41" s="91" t="n"/>
      <c r="H41" s="91" t="n"/>
      <c r="T41" s="86" t="n"/>
    </row>
    <row r="42">
      <c r="D42" s="91" t="n"/>
      <c r="E42" s="91" t="n"/>
      <c r="F42" s="91" t="n"/>
      <c r="G42" s="91" t="n"/>
      <c r="H42" s="91" t="n"/>
      <c r="T42" s="86" t="n"/>
    </row>
    <row r="43">
      <c r="D43" s="91" t="n"/>
      <c r="E43" s="91" t="n"/>
      <c r="F43" s="91" t="n"/>
      <c r="G43" s="91" t="n"/>
      <c r="H43" s="91" t="n"/>
      <c r="T43" s="86" t="n"/>
    </row>
    <row r="44">
      <c r="D44" s="91" t="n"/>
      <c r="E44" s="91" t="n"/>
      <c r="F44" s="91" t="n"/>
      <c r="G44" s="91" t="n"/>
      <c r="H44" s="91" t="n"/>
      <c r="T44" s="86" t="n"/>
    </row>
    <row r="45">
      <c r="D45" s="91" t="n"/>
      <c r="E45" s="91" t="n"/>
      <c r="F45" s="91" t="n"/>
      <c r="G45" s="91" t="n"/>
      <c r="H45" s="91" t="n"/>
      <c r="T45" s="86" t="n"/>
    </row>
    <row r="46">
      <c r="D46" s="91" t="n"/>
      <c r="E46" s="91" t="n"/>
      <c r="F46" s="91" t="n"/>
      <c r="G46" s="91" t="n"/>
      <c r="H46" s="91" t="n"/>
      <c r="T46" s="86" t="n"/>
    </row>
    <row r="47">
      <c r="D47" s="91" t="n"/>
      <c r="E47" s="91" t="n"/>
      <c r="F47" s="91" t="n"/>
      <c r="G47" s="91" t="n"/>
      <c r="H47" s="91" t="n"/>
      <c r="T47" s="86" t="n"/>
    </row>
    <row r="48">
      <c r="D48" s="91" t="n"/>
      <c r="E48" s="91" t="n"/>
      <c r="F48" s="91" t="n"/>
      <c r="G48" s="91" t="n"/>
      <c r="H48" s="91" t="n"/>
      <c r="T48" s="86" t="n"/>
    </row>
    <row r="49">
      <c r="D49" s="91" t="n"/>
      <c r="E49" s="91" t="n"/>
      <c r="F49" s="91" t="n"/>
      <c r="G49" s="91" t="n"/>
      <c r="H49" s="91" t="n"/>
      <c r="T49" s="86" t="n"/>
    </row>
    <row r="50">
      <c r="D50" s="91" t="n"/>
      <c r="E50" s="91" t="n"/>
      <c r="F50" s="91" t="n"/>
      <c r="G50" s="91" t="n"/>
      <c r="H50" s="91" t="n"/>
      <c r="T50" s="86" t="n"/>
    </row>
    <row r="51">
      <c r="D51" s="91" t="n"/>
      <c r="E51" s="91" t="n"/>
      <c r="F51" s="91" t="n"/>
      <c r="G51" s="91" t="n"/>
      <c r="H51" s="91" t="n"/>
      <c r="T51" s="86" t="n"/>
    </row>
    <row r="52">
      <c r="D52" s="91" t="n"/>
      <c r="E52" s="91" t="n"/>
      <c r="F52" s="91" t="n"/>
      <c r="G52" s="91" t="n"/>
      <c r="H52" s="91" t="n"/>
      <c r="T52" s="86" t="n"/>
    </row>
    <row r="53">
      <c r="D53" s="91" t="n"/>
      <c r="E53" s="91" t="n"/>
      <c r="F53" s="91" t="n"/>
      <c r="G53" s="91" t="n"/>
      <c r="H53" s="91" t="n"/>
      <c r="T53" s="86" t="n"/>
    </row>
    <row r="54">
      <c r="D54" s="91" t="n"/>
      <c r="E54" s="91" t="n"/>
      <c r="F54" s="91" t="n"/>
      <c r="G54" s="91" t="n"/>
      <c r="H54" s="91" t="n"/>
      <c r="T54" s="86" t="n"/>
    </row>
    <row r="55">
      <c r="D55" s="91" t="n"/>
      <c r="E55" s="91" t="n"/>
      <c r="F55" s="91" t="n"/>
      <c r="G55" s="91" t="n"/>
      <c r="H55" s="91" t="n"/>
      <c r="T55" s="86" t="n"/>
    </row>
    <row r="56">
      <c r="D56" s="91" t="n"/>
      <c r="E56" s="91" t="n"/>
      <c r="F56" s="91" t="n"/>
      <c r="G56" s="91" t="n"/>
      <c r="H56" s="91" t="n"/>
      <c r="T56" s="86" t="n"/>
    </row>
    <row r="57">
      <c r="D57" s="91" t="n"/>
      <c r="E57" s="91" t="n"/>
      <c r="F57" s="91" t="n"/>
      <c r="G57" s="91" t="n"/>
      <c r="H57" s="91" t="n"/>
      <c r="T57" s="86" t="n"/>
    </row>
    <row r="58">
      <c r="D58" s="91" t="n"/>
      <c r="E58" s="91" t="n"/>
      <c r="F58" s="91" t="n"/>
      <c r="G58" s="91" t="n"/>
      <c r="H58" s="91" t="n"/>
      <c r="T58" s="86" t="n"/>
    </row>
    <row r="59">
      <c r="D59" s="91" t="n"/>
      <c r="E59" s="91" t="n"/>
      <c r="F59" s="91" t="n"/>
      <c r="G59" s="91" t="n"/>
      <c r="H59" s="91" t="n"/>
      <c r="T59" s="86" t="n"/>
    </row>
    <row r="60">
      <c r="D60" s="91" t="n"/>
      <c r="E60" s="91" t="n"/>
      <c r="F60" s="91" t="n"/>
      <c r="G60" s="91" t="n"/>
      <c r="H60" s="91" t="n"/>
      <c r="T60" s="86" t="n"/>
    </row>
    <row r="61">
      <c r="D61" s="91" t="n"/>
      <c r="E61" s="91" t="n"/>
      <c r="F61" s="91" t="n"/>
      <c r="G61" s="91" t="n"/>
      <c r="H61" s="91" t="n"/>
      <c r="T61" s="86" t="n"/>
    </row>
    <row r="62">
      <c r="D62" s="91" t="n"/>
      <c r="E62" s="91" t="n"/>
      <c r="F62" s="91" t="n"/>
      <c r="G62" s="91" t="n"/>
      <c r="H62" s="91" t="n"/>
      <c r="T62" s="86" t="n"/>
    </row>
    <row r="63">
      <c r="D63" s="91" t="n"/>
      <c r="E63" s="91" t="n"/>
      <c r="F63" s="91" t="n"/>
      <c r="G63" s="91" t="n"/>
      <c r="H63" s="91" t="n"/>
      <c r="T63" s="86" t="n"/>
    </row>
    <row r="64">
      <c r="D64" s="91" t="n"/>
      <c r="E64" s="91" t="n"/>
      <c r="F64" s="91" t="n"/>
      <c r="G64" s="91" t="n"/>
      <c r="H64" s="91" t="n"/>
      <c r="T64" s="86" t="n"/>
    </row>
    <row r="65">
      <c r="D65" s="91" t="n"/>
      <c r="E65" s="91" t="n"/>
      <c r="F65" s="91" t="n"/>
      <c r="G65" s="91" t="n"/>
      <c r="H65" s="91" t="n"/>
      <c r="T65" s="86" t="n"/>
    </row>
    <row r="66">
      <c r="D66" s="91" t="n"/>
      <c r="E66" s="91" t="n"/>
      <c r="F66" s="91" t="n"/>
      <c r="G66" s="91" t="n"/>
      <c r="H66" s="91" t="n"/>
      <c r="T66" s="86" t="n"/>
    </row>
    <row r="67">
      <c r="D67" s="91" t="n"/>
      <c r="E67" s="91" t="n"/>
      <c r="F67" s="91" t="n"/>
      <c r="G67" s="91" t="n"/>
      <c r="H67" s="91" t="n"/>
      <c r="T67" s="86" t="n"/>
    </row>
    <row r="68">
      <c r="D68" s="91" t="n"/>
      <c r="E68" s="91" t="n"/>
      <c r="F68" s="91" t="n"/>
      <c r="G68" s="91" t="n"/>
      <c r="H68" s="91" t="n"/>
      <c r="T68" s="86" t="n"/>
    </row>
    <row r="69">
      <c r="D69" s="91" t="n"/>
      <c r="E69" s="91" t="n"/>
      <c r="F69" s="91" t="n"/>
      <c r="G69" s="91" t="n"/>
      <c r="H69" s="91" t="n"/>
      <c r="T69" s="86" t="n"/>
    </row>
    <row r="70">
      <c r="D70" s="91" t="n"/>
      <c r="E70" s="91" t="n"/>
      <c r="F70" s="91" t="n"/>
      <c r="G70" s="91" t="n"/>
      <c r="H70" s="91" t="n"/>
      <c r="T70" s="86" t="n"/>
    </row>
    <row r="71">
      <c r="D71" s="91" t="n"/>
      <c r="E71" s="91" t="n"/>
      <c r="F71" s="91" t="n"/>
      <c r="G71" s="91" t="n"/>
      <c r="H71" s="91" t="n"/>
      <c r="T71" s="86" t="n"/>
    </row>
    <row r="72">
      <c r="D72" s="91" t="n"/>
      <c r="E72" s="91" t="n"/>
      <c r="F72" s="91" t="n"/>
      <c r="G72" s="91" t="n"/>
      <c r="H72" s="91" t="n"/>
      <c r="T72" s="86" t="n"/>
    </row>
    <row r="73">
      <c r="D73" s="91" t="n"/>
      <c r="E73" s="91" t="n"/>
      <c r="F73" s="91" t="n"/>
      <c r="G73" s="91" t="n"/>
      <c r="H73" s="91" t="n"/>
      <c r="T73" s="86" t="n"/>
    </row>
    <row r="74">
      <c r="D74" s="91" t="n"/>
      <c r="E74" s="91" t="n"/>
      <c r="F74" s="91" t="n"/>
      <c r="G74" s="91" t="n"/>
      <c r="H74" s="91" t="n"/>
      <c r="T74" s="86" t="n"/>
    </row>
    <row r="75">
      <c r="D75" s="91" t="n"/>
      <c r="E75" s="91" t="n"/>
      <c r="F75" s="91" t="n"/>
      <c r="G75" s="91" t="n"/>
      <c r="H75" s="91" t="n"/>
      <c r="T75" s="86" t="n"/>
    </row>
    <row r="76">
      <c r="D76" s="91" t="n"/>
      <c r="E76" s="91" t="n"/>
      <c r="F76" s="91" t="n"/>
      <c r="G76" s="91" t="n"/>
      <c r="H76" s="91" t="n"/>
      <c r="T76" s="86" t="n"/>
    </row>
    <row r="77">
      <c r="D77" s="91" t="n"/>
      <c r="E77" s="91" t="n"/>
      <c r="F77" s="91" t="n"/>
      <c r="G77" s="91" t="n"/>
      <c r="H77" s="91" t="n"/>
      <c r="T77" s="86" t="n"/>
    </row>
    <row r="78">
      <c r="D78" s="91" t="n"/>
      <c r="E78" s="91" t="n"/>
      <c r="F78" s="91" t="n"/>
      <c r="G78" s="91" t="n"/>
      <c r="H78" s="91" t="n"/>
      <c r="T78" s="86" t="n"/>
    </row>
    <row r="79">
      <c r="D79" s="91" t="n"/>
      <c r="E79" s="91" t="n"/>
      <c r="F79" s="91" t="n"/>
      <c r="G79" s="91" t="n"/>
      <c r="H79" s="91" t="n"/>
      <c r="T79" s="86" t="n"/>
    </row>
    <row r="80">
      <c r="D80" s="91" t="n"/>
      <c r="E80" s="91" t="n"/>
      <c r="F80" s="91" t="n"/>
      <c r="G80" s="91" t="n"/>
      <c r="H80" s="91" t="n"/>
      <c r="T80" s="86" t="n"/>
    </row>
    <row r="81">
      <c r="D81" s="91" t="n"/>
      <c r="E81" s="91" t="n"/>
      <c r="F81" s="91" t="n"/>
      <c r="G81" s="91" t="n"/>
      <c r="H81" s="91" t="n"/>
      <c r="T81" s="86" t="n"/>
    </row>
    <row r="82">
      <c r="D82" s="91" t="n"/>
      <c r="E82" s="91" t="n"/>
      <c r="F82" s="91" t="n"/>
      <c r="G82" s="91" t="n"/>
      <c r="H82" s="91" t="n"/>
      <c r="T82" s="86" t="n"/>
    </row>
    <row r="83">
      <c r="D83" s="91" t="n"/>
      <c r="E83" s="91" t="n"/>
      <c r="F83" s="91" t="n"/>
      <c r="G83" s="91" t="n"/>
      <c r="H83" s="91" t="n"/>
      <c r="T83" s="86" t="n"/>
    </row>
    <row r="84">
      <c r="D84" s="91" t="n"/>
      <c r="E84" s="91" t="n"/>
      <c r="F84" s="91" t="n"/>
      <c r="G84" s="91" t="n"/>
      <c r="H84" s="91" t="n"/>
      <c r="T84" s="86" t="n"/>
    </row>
    <row r="85">
      <c r="D85" s="91" t="n"/>
      <c r="E85" s="91" t="n"/>
      <c r="F85" s="91" t="n"/>
      <c r="G85" s="91" t="n"/>
      <c r="H85" s="91" t="n"/>
      <c r="T85" s="86" t="n"/>
    </row>
    <row r="86">
      <c r="D86" s="91" t="n"/>
      <c r="E86" s="91" t="n"/>
      <c r="F86" s="91" t="n"/>
      <c r="G86" s="91" t="n"/>
      <c r="H86" s="91" t="n"/>
      <c r="T86" s="86" t="n"/>
    </row>
    <row r="87">
      <c r="D87" s="91" t="n"/>
      <c r="E87" s="91" t="n"/>
      <c r="F87" s="91" t="n"/>
      <c r="G87" s="91" t="n"/>
      <c r="H87" s="91" t="n"/>
      <c r="T87" s="86" t="n"/>
    </row>
    <row r="88">
      <c r="D88" s="91" t="n"/>
      <c r="E88" s="91" t="n"/>
      <c r="F88" s="91" t="n"/>
      <c r="G88" s="91" t="n"/>
      <c r="H88" s="91" t="n"/>
      <c r="T88" s="86" t="n"/>
    </row>
    <row r="89">
      <c r="D89" s="91" t="n"/>
      <c r="E89" s="91" t="n"/>
      <c r="F89" s="91" t="n"/>
      <c r="G89" s="91" t="n"/>
      <c r="H89" s="91" t="n"/>
      <c r="T89" s="86" t="n"/>
    </row>
    <row r="90">
      <c r="D90" s="91" t="n"/>
      <c r="E90" s="91" t="n"/>
      <c r="F90" s="91" t="n"/>
      <c r="G90" s="91" t="n"/>
      <c r="H90" s="91" t="n"/>
      <c r="T90" s="86" t="n"/>
    </row>
    <row r="91">
      <c r="D91" s="91" t="n"/>
      <c r="E91" s="91" t="n"/>
      <c r="F91" s="91" t="n"/>
      <c r="G91" s="91" t="n"/>
      <c r="H91" s="91" t="n"/>
      <c r="T91" s="86" t="n"/>
    </row>
    <row r="92">
      <c r="D92" s="91" t="n"/>
      <c r="E92" s="91" t="n"/>
      <c r="F92" s="91" t="n"/>
      <c r="G92" s="91" t="n"/>
      <c r="H92" s="91" t="n"/>
      <c r="T92" s="86" t="n"/>
    </row>
    <row r="93">
      <c r="D93" s="91" t="n"/>
      <c r="E93" s="91" t="n"/>
      <c r="F93" s="91" t="n"/>
      <c r="G93" s="91" t="n"/>
      <c r="H93" s="91" t="n"/>
      <c r="T93" s="86" t="n"/>
    </row>
    <row r="94">
      <c r="D94" s="91" t="n"/>
      <c r="E94" s="91" t="n"/>
      <c r="F94" s="91" t="n"/>
      <c r="G94" s="91" t="n"/>
      <c r="H94" s="91" t="n"/>
      <c r="T94" s="86" t="n"/>
    </row>
    <row r="95">
      <c r="D95" s="91" t="n"/>
      <c r="E95" s="91" t="n"/>
      <c r="F95" s="91" t="n"/>
      <c r="G95" s="91" t="n"/>
      <c r="H95" s="91" t="n"/>
      <c r="T95" s="86" t="n"/>
    </row>
    <row r="96">
      <c r="D96" s="91" t="n"/>
      <c r="E96" s="91" t="n"/>
      <c r="F96" s="91" t="n"/>
      <c r="G96" s="91" t="n"/>
      <c r="H96" s="91" t="n"/>
      <c r="T96" s="86" t="n"/>
    </row>
    <row r="97">
      <c r="D97" s="91" t="n"/>
      <c r="E97" s="91" t="n"/>
      <c r="F97" s="91" t="n"/>
      <c r="G97" s="91" t="n"/>
      <c r="H97" s="91" t="n"/>
      <c r="T97" s="86" t="n"/>
    </row>
    <row r="98">
      <c r="D98" s="91" t="n"/>
      <c r="E98" s="91" t="n"/>
      <c r="F98" s="91" t="n"/>
      <c r="G98" s="91" t="n"/>
      <c r="H98" s="91" t="n"/>
      <c r="T98" s="86" t="n"/>
    </row>
    <row r="99">
      <c r="D99" s="91" t="n"/>
      <c r="E99" s="91" t="n"/>
      <c r="F99" s="91" t="n"/>
      <c r="G99" s="91" t="n"/>
      <c r="H99" s="91" t="n"/>
      <c r="T99" s="86" t="n"/>
    </row>
    <row r="100">
      <c r="D100" s="91" t="n"/>
      <c r="E100" s="91" t="n"/>
      <c r="F100" s="91" t="n"/>
      <c r="G100" s="91" t="n"/>
      <c r="H100" s="91" t="n"/>
      <c r="T100" s="86" t="n"/>
    </row>
    <row r="101">
      <c r="D101" s="91" t="n"/>
      <c r="E101" s="91" t="n"/>
      <c r="F101" s="91" t="n"/>
      <c r="G101" s="91" t="n"/>
      <c r="H101" s="91" t="n"/>
      <c r="T101" s="86" t="n"/>
    </row>
    <row r="102">
      <c r="D102" s="91" t="n"/>
      <c r="E102" s="91" t="n"/>
      <c r="F102" s="91" t="n"/>
      <c r="G102" s="91" t="n"/>
      <c r="H102" s="91" t="n"/>
      <c r="T102" s="86" t="n"/>
    </row>
    <row r="103">
      <c r="D103" s="91" t="n"/>
      <c r="E103" s="91" t="n"/>
      <c r="F103" s="91" t="n"/>
      <c r="G103" s="91" t="n"/>
      <c r="H103" s="91" t="n"/>
      <c r="T103" s="86" t="n"/>
    </row>
    <row r="104">
      <c r="D104" s="91" t="n"/>
      <c r="E104" s="91" t="n"/>
      <c r="F104" s="91" t="n"/>
      <c r="G104" s="91" t="n"/>
      <c r="H104" s="91" t="n"/>
      <c r="T104" s="86" t="n"/>
    </row>
    <row r="105">
      <c r="D105" s="91" t="n"/>
      <c r="E105" s="91" t="n"/>
      <c r="F105" s="91" t="n"/>
      <c r="G105" s="91" t="n"/>
      <c r="H105" s="91" t="n"/>
      <c r="T105" s="86" t="n"/>
    </row>
    <row r="106">
      <c r="D106" s="91" t="n"/>
      <c r="E106" s="91" t="n"/>
      <c r="F106" s="91" t="n"/>
      <c r="G106" s="91" t="n"/>
      <c r="H106" s="91" t="n"/>
      <c r="T106" s="86" t="n"/>
    </row>
    <row r="107">
      <c r="D107" s="91" t="n"/>
      <c r="E107" s="91" t="n"/>
      <c r="F107" s="91" t="n"/>
      <c r="G107" s="91" t="n"/>
      <c r="H107" s="91" t="n"/>
      <c r="T107" s="86" t="n"/>
    </row>
    <row r="108">
      <c r="D108" s="91" t="n"/>
      <c r="E108" s="91" t="n"/>
      <c r="F108" s="91" t="n"/>
      <c r="G108" s="91" t="n"/>
      <c r="H108" s="91" t="n"/>
      <c r="T108" s="86" t="n"/>
    </row>
    <row r="109">
      <c r="D109" s="91" t="n"/>
      <c r="E109" s="91" t="n"/>
      <c r="F109" s="91" t="n"/>
      <c r="G109" s="91" t="n"/>
      <c r="H109" s="91" t="n"/>
      <c r="T109" s="86" t="n"/>
    </row>
    <row r="110">
      <c r="D110" s="91" t="n"/>
      <c r="E110" s="91" t="n"/>
      <c r="F110" s="91" t="n"/>
      <c r="G110" s="91" t="n"/>
      <c r="H110" s="91" t="n"/>
      <c r="T110" s="86" t="n"/>
    </row>
    <row r="111">
      <c r="D111" s="91" t="n"/>
      <c r="E111" s="91" t="n"/>
      <c r="F111" s="91" t="n"/>
      <c r="G111" s="91" t="n"/>
      <c r="H111" s="91" t="n"/>
      <c r="T111" s="86" t="n"/>
    </row>
    <row r="112">
      <c r="D112" s="91" t="n"/>
      <c r="E112" s="91" t="n"/>
      <c r="F112" s="91" t="n"/>
      <c r="G112" s="91" t="n"/>
      <c r="H112" s="91" t="n"/>
      <c r="T112" s="86" t="n"/>
    </row>
    <row r="113">
      <c r="D113" s="91" t="n"/>
      <c r="E113" s="91" t="n"/>
      <c r="F113" s="91" t="n"/>
      <c r="G113" s="91" t="n"/>
      <c r="H113" s="91" t="n"/>
      <c r="T113" s="86" t="n"/>
    </row>
    <row r="114">
      <c r="D114" s="91" t="n"/>
      <c r="E114" s="91" t="n"/>
      <c r="F114" s="91" t="n"/>
      <c r="G114" s="91" t="n"/>
      <c r="H114" s="91" t="n"/>
      <c r="T114" s="86" t="n"/>
    </row>
    <row r="115">
      <c r="D115" s="91" t="n"/>
      <c r="E115" s="91" t="n"/>
      <c r="F115" s="91" t="n"/>
      <c r="G115" s="91" t="n"/>
      <c r="H115" s="91" t="n"/>
      <c r="T115" s="86" t="n"/>
    </row>
    <row r="116">
      <c r="D116" s="91" t="n"/>
      <c r="E116" s="91" t="n"/>
      <c r="F116" s="91" t="n"/>
      <c r="G116" s="91" t="n"/>
      <c r="H116" s="91" t="n"/>
      <c r="T116" s="86" t="n"/>
    </row>
    <row r="117">
      <c r="D117" s="91" t="n"/>
      <c r="E117" s="91" t="n"/>
      <c r="F117" s="91" t="n"/>
      <c r="G117" s="91" t="n"/>
      <c r="H117" s="91" t="n"/>
      <c r="T117" s="86" t="n"/>
    </row>
    <row r="118">
      <c r="D118" s="91" t="n"/>
      <c r="E118" s="91" t="n"/>
      <c r="F118" s="91" t="n"/>
      <c r="G118" s="91" t="n"/>
      <c r="H118" s="91" t="n"/>
      <c r="T118" s="86" t="n"/>
    </row>
    <row r="119">
      <c r="D119" s="91" t="n"/>
      <c r="E119" s="91" t="n"/>
      <c r="F119" s="91" t="n"/>
      <c r="G119" s="91" t="n"/>
      <c r="H119" s="91" t="n"/>
      <c r="T119" s="86" t="n"/>
    </row>
    <row r="120">
      <c r="D120" s="91" t="n"/>
      <c r="E120" s="91" t="n"/>
      <c r="F120" s="91" t="n"/>
      <c r="G120" s="91" t="n"/>
      <c r="H120" s="91" t="n"/>
      <c r="T120" s="86" t="n"/>
    </row>
    <row r="121">
      <c r="D121" s="91" t="n"/>
      <c r="E121" s="91" t="n"/>
      <c r="F121" s="91" t="n"/>
      <c r="G121" s="91" t="n"/>
      <c r="H121" s="91" t="n"/>
      <c r="T121" s="86" t="n"/>
    </row>
    <row r="122">
      <c r="D122" s="91" t="n"/>
      <c r="E122" s="91" t="n"/>
      <c r="F122" s="91" t="n"/>
      <c r="G122" s="91" t="n"/>
      <c r="H122" s="91" t="n"/>
      <c r="T122" s="86" t="n"/>
    </row>
    <row r="123">
      <c r="D123" s="91" t="n"/>
      <c r="E123" s="91" t="n"/>
      <c r="F123" s="91" t="n"/>
      <c r="G123" s="91" t="n"/>
      <c r="H123" s="91" t="n"/>
      <c r="T123" s="86" t="n"/>
    </row>
    <row r="124">
      <c r="D124" s="91" t="n"/>
      <c r="E124" s="91" t="n"/>
      <c r="F124" s="91" t="n"/>
      <c r="G124" s="91" t="n"/>
      <c r="H124" s="91" t="n"/>
      <c r="T124" s="86" t="n"/>
    </row>
    <row r="125">
      <c r="D125" s="91" t="n"/>
      <c r="E125" s="91" t="n"/>
      <c r="F125" s="91" t="n"/>
      <c r="G125" s="91" t="n"/>
      <c r="H125" s="91" t="n"/>
      <c r="T125" s="86" t="n"/>
    </row>
    <row r="126">
      <c r="D126" s="91" t="n"/>
      <c r="E126" s="91" t="n"/>
      <c r="F126" s="91" t="n"/>
      <c r="G126" s="91" t="n"/>
      <c r="H126" s="91" t="n"/>
      <c r="T126" s="86" t="n"/>
    </row>
    <row r="127">
      <c r="D127" s="91" t="n"/>
      <c r="E127" s="91" t="n"/>
      <c r="F127" s="91" t="n"/>
      <c r="G127" s="91" t="n"/>
      <c r="H127" s="91" t="n"/>
      <c r="T127" s="86" t="n"/>
    </row>
    <row r="128">
      <c r="D128" s="91" t="n"/>
      <c r="E128" s="91" t="n"/>
      <c r="F128" s="91" t="n"/>
      <c r="G128" s="91" t="n"/>
      <c r="H128" s="91" t="n"/>
      <c r="T128" s="86" t="n"/>
    </row>
    <row r="129">
      <c r="D129" s="91" t="n"/>
      <c r="E129" s="91" t="n"/>
      <c r="F129" s="91" t="n"/>
      <c r="G129" s="91" t="n"/>
      <c r="H129" s="91" t="n"/>
      <c r="T129" s="86" t="n"/>
    </row>
    <row r="130">
      <c r="D130" s="91" t="n"/>
      <c r="E130" s="91" t="n"/>
      <c r="F130" s="91" t="n"/>
      <c r="G130" s="91" t="n"/>
      <c r="H130" s="91" t="n"/>
      <c r="T130" s="86" t="n"/>
    </row>
    <row r="131">
      <c r="D131" s="91" t="n"/>
      <c r="E131" s="91" t="n"/>
      <c r="F131" s="91" t="n"/>
      <c r="G131" s="91" t="n"/>
      <c r="H131" s="91" t="n"/>
      <c r="T131" s="86" t="n"/>
    </row>
    <row r="132">
      <c r="D132" s="91" t="n"/>
      <c r="E132" s="91" t="n"/>
      <c r="F132" s="91" t="n"/>
      <c r="G132" s="91" t="n"/>
      <c r="H132" s="91" t="n"/>
      <c r="T132" s="86" t="n"/>
    </row>
    <row r="133">
      <c r="D133" s="91" t="n"/>
      <c r="E133" s="91" t="n"/>
      <c r="F133" s="91" t="n"/>
      <c r="G133" s="91" t="n"/>
      <c r="H133" s="91" t="n"/>
      <c r="T133" s="86" t="n"/>
    </row>
    <row r="134">
      <c r="D134" s="91" t="n"/>
      <c r="E134" s="91" t="n"/>
      <c r="F134" s="91" t="n"/>
      <c r="G134" s="91" t="n"/>
      <c r="H134" s="91" t="n"/>
      <c r="T134" s="86" t="n"/>
    </row>
    <row r="135">
      <c r="D135" s="91" t="n"/>
      <c r="E135" s="91" t="n"/>
      <c r="F135" s="91" t="n"/>
      <c r="G135" s="91" t="n"/>
      <c r="H135" s="91" t="n"/>
      <c r="T135" s="86" t="n"/>
    </row>
    <row r="136">
      <c r="D136" s="91" t="n"/>
      <c r="E136" s="91" t="n"/>
      <c r="F136" s="91" t="n"/>
      <c r="G136" s="91" t="n"/>
      <c r="H136" s="91" t="n"/>
      <c r="T136" s="86" t="n"/>
    </row>
    <row r="137">
      <c r="D137" s="91" t="n"/>
      <c r="E137" s="91" t="n"/>
      <c r="F137" s="91" t="n"/>
      <c r="G137" s="91" t="n"/>
      <c r="H137" s="91" t="n"/>
      <c r="T137" s="86" t="n"/>
    </row>
    <row r="138">
      <c r="D138" s="91" t="n"/>
      <c r="E138" s="91" t="n"/>
      <c r="F138" s="91" t="n"/>
      <c r="G138" s="91" t="n"/>
      <c r="H138" s="91" t="n"/>
      <c r="T138" s="86" t="n"/>
    </row>
    <row r="139">
      <c r="D139" s="91" t="n"/>
      <c r="E139" s="91" t="n"/>
      <c r="F139" s="91" t="n"/>
      <c r="G139" s="91" t="n"/>
      <c r="H139" s="91" t="n"/>
      <c r="T139" s="86" t="n"/>
    </row>
    <row r="140">
      <c r="D140" s="91" t="n"/>
      <c r="E140" s="91" t="n"/>
      <c r="F140" s="91" t="n"/>
      <c r="G140" s="91" t="n"/>
      <c r="H140" s="91" t="n"/>
      <c r="T140" s="86" t="n"/>
    </row>
    <row r="141">
      <c r="D141" s="91" t="n"/>
      <c r="E141" s="91" t="n"/>
      <c r="F141" s="91" t="n"/>
      <c r="G141" s="91" t="n"/>
      <c r="H141" s="91" t="n"/>
      <c r="T141" s="86" t="n"/>
    </row>
    <row r="142">
      <c r="D142" s="91" t="n"/>
      <c r="E142" s="91" t="n"/>
      <c r="F142" s="91" t="n"/>
      <c r="G142" s="91" t="n"/>
      <c r="H142" s="91" t="n"/>
      <c r="T142" s="86" t="n"/>
    </row>
    <row r="143">
      <c r="D143" s="91" t="n"/>
      <c r="E143" s="91" t="n"/>
      <c r="F143" s="91" t="n"/>
      <c r="G143" s="91" t="n"/>
      <c r="H143" s="91" t="n"/>
      <c r="T143" s="86" t="n"/>
    </row>
    <row r="144">
      <c r="D144" s="91" t="n"/>
      <c r="E144" s="91" t="n"/>
      <c r="F144" s="91" t="n"/>
      <c r="G144" s="91" t="n"/>
      <c r="H144" s="91" t="n"/>
      <c r="T144" s="86" t="n"/>
    </row>
    <row r="145">
      <c r="D145" s="91" t="n"/>
      <c r="E145" s="91" t="n"/>
      <c r="F145" s="91" t="n"/>
      <c r="G145" s="91" t="n"/>
      <c r="H145" s="91" t="n"/>
      <c r="T145" s="86" t="n"/>
    </row>
    <row r="146">
      <c r="D146" s="91" t="n"/>
      <c r="E146" s="91" t="n"/>
      <c r="F146" s="91" t="n"/>
      <c r="G146" s="91" t="n"/>
      <c r="H146" s="91" t="n"/>
      <c r="T146" s="86" t="n"/>
    </row>
    <row r="147">
      <c r="D147" s="91" t="n"/>
      <c r="E147" s="91" t="n"/>
      <c r="F147" s="91" t="n"/>
      <c r="G147" s="91" t="n"/>
      <c r="H147" s="91" t="n"/>
      <c r="T147" s="86" t="n"/>
    </row>
    <row r="148">
      <c r="D148" s="91" t="n"/>
      <c r="E148" s="91" t="n"/>
      <c r="F148" s="91" t="n"/>
      <c r="G148" s="91" t="n"/>
      <c r="H148" s="91" t="n"/>
      <c r="T148" s="86" t="n"/>
    </row>
    <row r="149">
      <c r="D149" s="91" t="n"/>
      <c r="E149" s="91" t="n"/>
      <c r="F149" s="91" t="n"/>
      <c r="G149" s="91" t="n"/>
      <c r="H149" s="91" t="n"/>
      <c r="T149" s="86" t="n"/>
    </row>
    <row r="150">
      <c r="D150" s="91" t="n"/>
      <c r="E150" s="91" t="n"/>
      <c r="F150" s="91" t="n"/>
      <c r="G150" s="91" t="n"/>
      <c r="H150" s="91" t="n"/>
      <c r="T150" s="86" t="n"/>
    </row>
    <row r="151">
      <c r="D151" s="91" t="n"/>
      <c r="E151" s="91" t="n"/>
      <c r="F151" s="91" t="n"/>
      <c r="G151" s="91" t="n"/>
      <c r="H151" s="91" t="n"/>
      <c r="T151" s="86" t="n"/>
    </row>
    <row r="152">
      <c r="D152" s="91" t="n"/>
      <c r="E152" s="91" t="n"/>
      <c r="F152" s="91" t="n"/>
      <c r="G152" s="91" t="n"/>
      <c r="H152" s="91" t="n"/>
      <c r="T152" s="86" t="n"/>
    </row>
    <row r="153">
      <c r="D153" s="91" t="n"/>
      <c r="E153" s="91" t="n"/>
      <c r="F153" s="91" t="n"/>
      <c r="G153" s="91" t="n"/>
      <c r="H153" s="91" t="n"/>
      <c r="T153" s="86" t="n"/>
    </row>
    <row r="154">
      <c r="D154" s="91" t="n"/>
      <c r="E154" s="91" t="n"/>
      <c r="F154" s="91" t="n"/>
      <c r="G154" s="91" t="n"/>
      <c r="H154" s="91" t="n"/>
      <c r="T154" s="86" t="n"/>
    </row>
    <row r="155">
      <c r="D155" s="91" t="n"/>
      <c r="E155" s="91" t="n"/>
      <c r="F155" s="91" t="n"/>
      <c r="G155" s="91" t="n"/>
      <c r="H155" s="91" t="n"/>
      <c r="T155" s="86" t="n"/>
    </row>
    <row r="156">
      <c r="D156" s="91" t="n"/>
      <c r="E156" s="91" t="n"/>
      <c r="F156" s="91" t="n"/>
      <c r="G156" s="91" t="n"/>
      <c r="H156" s="91" t="n"/>
      <c r="T156" s="86" t="n"/>
    </row>
    <row r="157">
      <c r="D157" s="91" t="n"/>
      <c r="E157" s="91" t="n"/>
      <c r="F157" s="91" t="n"/>
      <c r="G157" s="91" t="n"/>
      <c r="H157" s="91" t="n"/>
      <c r="T157" s="86" t="n"/>
    </row>
    <row r="158">
      <c r="D158" s="91" t="n"/>
      <c r="E158" s="91" t="n"/>
      <c r="F158" s="91" t="n"/>
      <c r="G158" s="91" t="n"/>
      <c r="H158" s="91" t="n"/>
      <c r="T158" s="86" t="n"/>
    </row>
    <row r="159">
      <c r="D159" s="91" t="n"/>
      <c r="E159" s="91" t="n"/>
      <c r="F159" s="91" t="n"/>
      <c r="G159" s="91" t="n"/>
      <c r="H159" s="91" t="n"/>
      <c r="T159" s="86" t="n"/>
    </row>
    <row r="160">
      <c r="D160" s="91" t="n"/>
      <c r="E160" s="91" t="n"/>
      <c r="F160" s="91" t="n"/>
      <c r="G160" s="91" t="n"/>
      <c r="H160" s="91" t="n"/>
      <c r="T160" s="86" t="n"/>
    </row>
    <row r="161">
      <c r="D161" s="91" t="n"/>
      <c r="E161" s="91" t="n"/>
      <c r="F161" s="91" t="n"/>
      <c r="G161" s="91" t="n"/>
      <c r="H161" s="91" t="n"/>
      <c r="T161" s="86" t="n"/>
    </row>
    <row r="162">
      <c r="D162" s="91" t="n"/>
      <c r="E162" s="91" t="n"/>
      <c r="F162" s="91" t="n"/>
      <c r="G162" s="91" t="n"/>
      <c r="H162" s="91" t="n"/>
      <c r="T162" s="86" t="n"/>
    </row>
    <row r="163">
      <c r="D163" s="91" t="n"/>
      <c r="E163" s="91" t="n"/>
      <c r="F163" s="91" t="n"/>
      <c r="G163" s="91" t="n"/>
      <c r="H163" s="91" t="n"/>
      <c r="T163" s="86" t="n"/>
    </row>
    <row r="164">
      <c r="D164" s="91" t="n"/>
      <c r="E164" s="91" t="n"/>
      <c r="F164" s="91" t="n"/>
      <c r="G164" s="91" t="n"/>
      <c r="H164" s="91" t="n"/>
      <c r="T164" s="86" t="n"/>
    </row>
    <row r="165">
      <c r="D165" s="91" t="n"/>
      <c r="E165" s="91" t="n"/>
      <c r="F165" s="91" t="n"/>
      <c r="G165" s="91" t="n"/>
      <c r="H165" s="91" t="n"/>
      <c r="T165" s="86" t="n"/>
    </row>
    <row r="166">
      <c r="D166" s="91" t="n"/>
      <c r="E166" s="91" t="n"/>
      <c r="F166" s="91" t="n"/>
      <c r="G166" s="91" t="n"/>
      <c r="H166" s="91" t="n"/>
      <c r="T166" s="86" t="n"/>
    </row>
    <row r="167">
      <c r="D167" s="91" t="n"/>
      <c r="E167" s="91" t="n"/>
      <c r="F167" s="91" t="n"/>
      <c r="G167" s="91" t="n"/>
      <c r="H167" s="91" t="n"/>
      <c r="T167" s="86" t="n"/>
    </row>
    <row r="168">
      <c r="D168" s="91" t="n"/>
      <c r="E168" s="91" t="n"/>
      <c r="F168" s="91" t="n"/>
      <c r="G168" s="91" t="n"/>
      <c r="H168" s="91" t="n"/>
      <c r="T168" s="86" t="n"/>
    </row>
    <row r="169">
      <c r="D169" s="91" t="n"/>
      <c r="E169" s="91" t="n"/>
      <c r="F169" s="91" t="n"/>
      <c r="G169" s="91" t="n"/>
      <c r="H169" s="91" t="n"/>
      <c r="T169" s="86" t="n"/>
    </row>
    <row r="170">
      <c r="D170" s="91" t="n"/>
      <c r="E170" s="91" t="n"/>
      <c r="F170" s="91" t="n"/>
      <c r="G170" s="91" t="n"/>
      <c r="H170" s="91" t="n"/>
      <c r="T170" s="86" t="n"/>
    </row>
    <row r="171">
      <c r="D171" s="91" t="n"/>
      <c r="E171" s="91" t="n"/>
      <c r="F171" s="91" t="n"/>
      <c r="G171" s="91" t="n"/>
      <c r="H171" s="91" t="n"/>
      <c r="T171" s="86" t="n"/>
    </row>
    <row r="172">
      <c r="D172" s="91" t="n"/>
      <c r="E172" s="91" t="n"/>
      <c r="F172" s="91" t="n"/>
      <c r="G172" s="91" t="n"/>
      <c r="H172" s="91" t="n"/>
      <c r="T172" s="86" t="n"/>
    </row>
    <row r="173">
      <c r="D173" s="91" t="n"/>
      <c r="E173" s="91" t="n"/>
      <c r="F173" s="91" t="n"/>
      <c r="G173" s="91" t="n"/>
      <c r="H173" s="91" t="n"/>
      <c r="T173" s="86" t="n"/>
    </row>
    <row r="174">
      <c r="D174" s="91" t="n"/>
      <c r="E174" s="91" t="n"/>
      <c r="F174" s="91" t="n"/>
      <c r="G174" s="91" t="n"/>
      <c r="H174" s="91" t="n"/>
      <c r="T174" s="86" t="n"/>
    </row>
    <row r="175">
      <c r="D175" s="91" t="n"/>
      <c r="E175" s="91" t="n"/>
      <c r="F175" s="91" t="n"/>
      <c r="G175" s="91" t="n"/>
      <c r="H175" s="91" t="n"/>
      <c r="T175" s="86" t="n"/>
    </row>
    <row r="176">
      <c r="D176" s="91" t="n"/>
      <c r="E176" s="91" t="n"/>
      <c r="F176" s="91" t="n"/>
      <c r="G176" s="91" t="n"/>
      <c r="H176" s="91" t="n"/>
      <c r="T176" s="86" t="n"/>
    </row>
    <row r="177">
      <c r="D177" s="91" t="n"/>
      <c r="E177" s="91" t="n"/>
      <c r="F177" s="91" t="n"/>
      <c r="G177" s="91" t="n"/>
      <c r="H177" s="91" t="n"/>
      <c r="T177" s="86" t="n"/>
    </row>
    <row r="178">
      <c r="D178" s="91" t="n"/>
      <c r="E178" s="91" t="n"/>
      <c r="F178" s="91" t="n"/>
      <c r="G178" s="91" t="n"/>
      <c r="H178" s="91" t="n"/>
      <c r="T178" s="86" t="n"/>
    </row>
    <row r="179">
      <c r="D179" s="91" t="n"/>
      <c r="E179" s="91" t="n"/>
      <c r="F179" s="91" t="n"/>
      <c r="G179" s="91" t="n"/>
      <c r="H179" s="91" t="n"/>
      <c r="T179" s="86" t="n"/>
    </row>
    <row r="180">
      <c r="D180" s="91" t="n"/>
      <c r="E180" s="91" t="n"/>
      <c r="F180" s="91" t="n"/>
      <c r="G180" s="91" t="n"/>
      <c r="H180" s="91" t="n"/>
      <c r="T180" s="86" t="n"/>
    </row>
    <row r="181">
      <c r="D181" s="91" t="n"/>
      <c r="E181" s="91" t="n"/>
      <c r="F181" s="91" t="n"/>
      <c r="G181" s="91" t="n"/>
      <c r="H181" s="91" t="n"/>
      <c r="T181" s="86" t="n"/>
    </row>
    <row r="182">
      <c r="D182" s="91" t="n"/>
      <c r="E182" s="91" t="n"/>
      <c r="F182" s="91" t="n"/>
      <c r="G182" s="91" t="n"/>
      <c r="H182" s="91" t="n"/>
      <c r="T182" s="86" t="n"/>
    </row>
    <row r="183">
      <c r="D183" s="91" t="n"/>
      <c r="E183" s="91" t="n"/>
      <c r="F183" s="91" t="n"/>
      <c r="G183" s="91" t="n"/>
      <c r="H183" s="91" t="n"/>
      <c r="T183" s="86" t="n"/>
    </row>
    <row r="184">
      <c r="D184" s="91" t="n"/>
      <c r="E184" s="91" t="n"/>
      <c r="F184" s="91" t="n"/>
      <c r="G184" s="91" t="n"/>
      <c r="H184" s="91" t="n"/>
      <c r="T184" s="86" t="n"/>
    </row>
    <row r="185">
      <c r="D185" s="91" t="n"/>
      <c r="E185" s="91" t="n"/>
      <c r="F185" s="91" t="n"/>
      <c r="G185" s="91" t="n"/>
      <c r="H185" s="91" t="n"/>
      <c r="T185" s="86" t="n"/>
    </row>
    <row r="186">
      <c r="D186" s="91" t="n"/>
      <c r="E186" s="91" t="n"/>
      <c r="F186" s="91" t="n"/>
      <c r="G186" s="91" t="n"/>
      <c r="H186" s="91" t="n"/>
      <c r="T186" s="86" t="n"/>
    </row>
    <row r="187">
      <c r="D187" s="91" t="n"/>
      <c r="E187" s="91" t="n"/>
      <c r="F187" s="91" t="n"/>
      <c r="G187" s="91" t="n"/>
      <c r="H187" s="91" t="n"/>
      <c r="T187" s="86" t="n"/>
    </row>
    <row r="188">
      <c r="D188" s="91" t="n"/>
      <c r="E188" s="91" t="n"/>
      <c r="F188" s="91" t="n"/>
      <c r="G188" s="91" t="n"/>
      <c r="H188" s="91" t="n"/>
      <c r="T188" s="86" t="n"/>
    </row>
    <row r="189">
      <c r="D189" s="91" t="n"/>
      <c r="E189" s="91" t="n"/>
      <c r="F189" s="91" t="n"/>
      <c r="G189" s="91" t="n"/>
      <c r="H189" s="91" t="n"/>
      <c r="T189" s="86" t="n"/>
    </row>
    <row r="190">
      <c r="D190" s="91" t="n"/>
      <c r="E190" s="91" t="n"/>
      <c r="F190" s="91" t="n"/>
      <c r="G190" s="91" t="n"/>
      <c r="H190" s="91" t="n"/>
      <c r="T190" s="86" t="n"/>
    </row>
    <row r="191">
      <c r="D191" s="91" t="n"/>
      <c r="E191" s="91" t="n"/>
      <c r="F191" s="91" t="n"/>
      <c r="G191" s="91" t="n"/>
      <c r="H191" s="91" t="n"/>
      <c r="T191" s="86" t="n"/>
    </row>
    <row r="192">
      <c r="D192" s="91" t="n"/>
      <c r="E192" s="91" t="n"/>
      <c r="F192" s="91" t="n"/>
      <c r="G192" s="91" t="n"/>
      <c r="H192" s="91" t="n"/>
      <c r="T192" s="86" t="n"/>
    </row>
    <row r="193">
      <c r="D193" s="91" t="n"/>
      <c r="E193" s="91" t="n"/>
      <c r="F193" s="91" t="n"/>
      <c r="G193" s="91" t="n"/>
      <c r="H193" s="91" t="n"/>
      <c r="T193" s="86" t="n"/>
    </row>
    <row r="194">
      <c r="D194" s="91" t="n"/>
      <c r="E194" s="91" t="n"/>
      <c r="F194" s="91" t="n"/>
      <c r="G194" s="91" t="n"/>
      <c r="H194" s="91" t="n"/>
      <c r="T194" s="86" t="n"/>
    </row>
    <row r="195">
      <c r="D195" s="91" t="n"/>
      <c r="E195" s="91" t="n"/>
      <c r="F195" s="91" t="n"/>
      <c r="G195" s="91" t="n"/>
      <c r="H195" s="91" t="n"/>
      <c r="T195" s="86" t="n"/>
    </row>
    <row r="196">
      <c r="D196" s="91" t="n"/>
      <c r="E196" s="91" t="n"/>
      <c r="F196" s="91" t="n"/>
      <c r="G196" s="91" t="n"/>
      <c r="H196" s="91" t="n"/>
      <c r="T196" s="86" t="n"/>
    </row>
    <row r="197">
      <c r="D197" s="91" t="n"/>
      <c r="E197" s="91" t="n"/>
      <c r="F197" s="91" t="n"/>
      <c r="G197" s="91" t="n"/>
      <c r="H197" s="91" t="n"/>
      <c r="T197" s="86" t="n"/>
    </row>
    <row r="198">
      <c r="D198" s="91" t="n"/>
      <c r="E198" s="91" t="n"/>
      <c r="F198" s="91" t="n"/>
      <c r="G198" s="91" t="n"/>
      <c r="H198" s="91" t="n"/>
      <c r="T198" s="86" t="n"/>
    </row>
    <row r="199">
      <c r="D199" s="91" t="n"/>
      <c r="E199" s="91" t="n"/>
      <c r="F199" s="91" t="n"/>
      <c r="G199" s="91" t="n"/>
      <c r="H199" s="91" t="n"/>
      <c r="T199" s="86" t="n"/>
    </row>
    <row r="200">
      <c r="D200" s="91" t="n"/>
      <c r="E200" s="91" t="n"/>
      <c r="F200" s="91" t="n"/>
      <c r="G200" s="91" t="n"/>
      <c r="H200" s="91" t="n"/>
      <c r="T200" s="86" t="n"/>
    </row>
    <row r="201">
      <c r="D201" s="91" t="n"/>
      <c r="E201" s="91" t="n"/>
      <c r="F201" s="91" t="n"/>
      <c r="G201" s="91" t="n"/>
      <c r="H201" s="91" t="n"/>
      <c r="T201" s="86" t="n"/>
    </row>
    <row r="202">
      <c r="D202" s="91" t="n"/>
      <c r="E202" s="91" t="n"/>
      <c r="F202" s="91" t="n"/>
      <c r="G202" s="91" t="n"/>
      <c r="H202" s="91" t="n"/>
      <c r="T202" s="86" t="n"/>
    </row>
    <row r="203">
      <c r="D203" s="91" t="n"/>
      <c r="E203" s="91" t="n"/>
      <c r="F203" s="91" t="n"/>
      <c r="G203" s="91" t="n"/>
      <c r="H203" s="91" t="n"/>
      <c r="T203" s="86" t="n"/>
    </row>
    <row r="204">
      <c r="D204" s="91" t="n"/>
      <c r="E204" s="91" t="n"/>
      <c r="F204" s="91" t="n"/>
      <c r="G204" s="91" t="n"/>
      <c r="H204" s="91" t="n"/>
      <c r="T204" s="86" t="n"/>
    </row>
  </sheetData>
  <mergeCells count="2">
    <mergeCell ref="A2:V2"/>
    <mergeCell ref="A1:V1"/>
  </mergeCells>
  <conditionalFormatting sqref="U5:U204">
    <cfRule type="containsText" priority="1" operator="containsText" dxfId="2" text="接受"/>
    <cfRule type="containsText" priority="2" operator="containsText" dxfId="5" text="拒绝"/>
  </conditionalFormatting>
  <dataValidations count="5">
    <dataValidation sqref="N5:N204" showDropDown="0" showInputMessage="0" showErrorMessage="0" allowBlank="0" type="whole" operator="between">
      <formula1>1</formula1>
      <formula2>5</formula2>
    </dataValidation>
    <dataValidation sqref="O5:O204" showDropDown="0" showInputMessage="0" showErrorMessage="0" allowBlank="0" type="whole" operator="between">
      <formula1>1</formula1>
      <formula2>5</formula2>
    </dataValidation>
    <dataValidation sqref="P5:P204" showDropDown="0" showInputMessage="0" showErrorMessage="0" allowBlank="0" type="whole" operator="between">
      <formula1>1</formula1>
      <formula2>5</formula2>
    </dataValidation>
    <dataValidation sqref="S5:S204" showDropDown="0" showInputMessage="0" showErrorMessage="0" allowBlank="0" type="whole" operator="between">
      <formula1>1</formula1>
      <formula2>5</formula2>
    </dataValidation>
    <dataValidation sqref="U5:U204" showDropDown="0" showInputMessage="0" showErrorMessage="0" allowBlank="0" type="list">
      <formula1>"待比较,接受,拒绝,保留"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selection activeCell="A1" sqref="A1"/>
    </sheetView>
  </sheetViews>
  <sheetFormatPr baseColWidth="8" defaultRowHeight="15"/>
  <cols>
    <col width="13" customWidth="1" style="81" min="1" max="1"/>
    <col width="18" customWidth="1" style="81" min="2" max="2"/>
    <col width="18" customWidth="1" style="81" min="3" max="3"/>
    <col width="18" customWidth="1" style="81" min="4" max="4"/>
    <col width="18" customWidth="1" style="81" min="5" max="5"/>
    <col width="18" customWidth="1" style="81" min="6" max="6"/>
    <col width="13" customWidth="1" style="81" min="7" max="7"/>
    <col width="13" customWidth="1" style="81" min="8" max="8"/>
    <col width="16" customWidth="1" style="81" min="9" max="9"/>
    <col width="16" customWidth="1" style="81" min="10" max="10"/>
    <col width="16" customWidth="1" style="81" min="11" max="11"/>
    <col width="16" customWidth="1" style="81" min="12" max="12"/>
  </cols>
  <sheetData>
    <row r="1" ht="34" customHeight="1" s="81">
      <c r="A1" s="7" t="inlineStr">
        <is>
          <t>2027届秋招求职总览</t>
        </is>
      </c>
    </row>
    <row r="2" ht="26" customHeight="1" s="81">
      <c r="A2" s="9" t="inlineStr">
        <is>
          <t>正式收集开始日：2026-09-02｜方向：AI Agent、算法、数据分析、工业AI、游戏开发、新能源、半导体、冶金研发</t>
        </is>
      </c>
    </row>
    <row r="4">
      <c r="A4" s="12" t="inlineStr">
        <is>
          <t>岗位总数</t>
        </is>
      </c>
      <c r="C4" s="12" t="inlineStr">
        <is>
          <t>待投递</t>
        </is>
      </c>
      <c r="E4" s="12" t="inlineStr">
        <is>
          <t>已投递</t>
        </is>
      </c>
      <c r="G4" s="12" t="inlineStr">
        <is>
          <t>面试中</t>
        </is>
      </c>
      <c r="I4" s="12" t="inlineStr">
        <is>
          <t>Offer</t>
        </is>
      </c>
      <c r="K4" s="12" t="inlineStr">
        <is>
          <t>7天内截止</t>
        </is>
      </c>
    </row>
    <row r="5">
      <c r="A5" s="92">
        <f>COUNTA('岗位与投递'!$D$5:$D$204)</f>
        <v/>
      </c>
      <c r="B5" s="93" t="n"/>
      <c r="C5" s="92">
        <f>COUNTIF('岗位与投递'!$T$5:$T$204,"待投递")</f>
        <v/>
      </c>
      <c r="D5" s="93" t="n"/>
      <c r="E5" s="92">
        <f>COUNTIF('岗位与投递'!$T$5:$T$204,"已投递")</f>
        <v/>
      </c>
      <c r="F5" s="93" t="n"/>
      <c r="G5" s="92">
        <f>COUNTIF('岗位与投递'!$T$5:$T$204,"一面")+COUNTIF('岗位与投递'!$T$5:$T$204,"二面")+COUNTIF('岗位与投递'!$T$5:$T$204,"终面")</f>
        <v/>
      </c>
      <c r="H5" s="93" t="n"/>
      <c r="I5" s="94">
        <f>COUNTIF('岗位与投递'!$T$5:$T$204,"Offer")</f>
        <v/>
      </c>
      <c r="J5" s="93" t="n"/>
      <c r="K5" s="92">
        <f>COUNTIFS('岗位与投递'!$O$5:$O$204,"&gt;="&amp;TODAY(),'岗位与投递'!$O$5:$O$204,"&lt;="&amp;TODAY()+7,'岗位与投递'!$T$5:$T$204,"待投递")</f>
        <v/>
      </c>
      <c r="L5" s="93" t="n"/>
    </row>
    <row r="6">
      <c r="A6" s="95" t="n"/>
      <c r="B6" s="96" t="n"/>
      <c r="C6" s="95" t="n"/>
      <c r="D6" s="96" t="n"/>
      <c r="E6" s="95" t="n"/>
      <c r="F6" s="96" t="n"/>
      <c r="G6" s="95" t="n"/>
      <c r="H6" s="96" t="n"/>
      <c r="I6" s="95" t="n"/>
      <c r="J6" s="96" t="n"/>
      <c r="K6" s="95" t="n"/>
      <c r="L6" s="96" t="n"/>
    </row>
    <row r="8">
      <c r="A8" s="57" t="inlineStr">
        <is>
          <t>今天开始：首日行动清单</t>
        </is>
      </c>
      <c r="H8" s="57" t="inlineStr">
        <is>
          <t>岗位优先级判断</t>
        </is>
      </c>
    </row>
    <row r="9">
      <c r="A9" s="60" t="inlineStr">
        <is>
          <t>1</t>
        </is>
      </c>
      <c r="B9" s="61" t="inlineStr">
        <is>
          <t>查看学校就业网、宣讲会和双选会信息</t>
        </is>
      </c>
      <c r="C9" s="97" t="n"/>
      <c r="D9" s="97" t="n"/>
      <c r="E9" s="97" t="n"/>
      <c r="F9" s="98" t="n"/>
      <c r="H9" s="60" t="inlineStr">
        <is>
          <t>S</t>
        </is>
      </c>
      <c r="I9" s="61" t="inlineStr">
        <is>
          <t>高度匹配且截止临近：当天定制并投递</t>
        </is>
      </c>
      <c r="J9" s="97" t="n"/>
      <c r="K9" s="97" t="n"/>
      <c r="L9" s="98" t="n"/>
    </row>
    <row r="10">
      <c r="A10" s="60" t="inlineStr">
        <is>
          <t>2</t>
        </is>
      </c>
      <c r="B10" s="61" t="inlineStr">
        <is>
          <t>建立首批10家目标企业名单，并保存官网来源</t>
        </is>
      </c>
      <c r="C10" s="97" t="n"/>
      <c r="D10" s="97" t="n"/>
      <c r="E10" s="97" t="n"/>
      <c r="F10" s="98" t="n"/>
      <c r="H10" s="60" t="inlineStr">
        <is>
          <t>A</t>
        </is>
      </c>
      <c r="I10" s="61" t="inlineStr">
        <is>
          <t>匹配度较高：两天内完成投递</t>
        </is>
      </c>
      <c r="J10" s="97" t="n"/>
      <c r="K10" s="97" t="n"/>
      <c r="L10" s="98" t="n"/>
    </row>
    <row r="11">
      <c r="A11" s="60" t="inlineStr">
        <is>
          <t>3</t>
        </is>
      </c>
      <c r="B11" s="61" t="inlineStr">
        <is>
          <t>筛选5个高匹配岗位，记录截止日期和要求</t>
        </is>
      </c>
      <c r="C11" s="97" t="n"/>
      <c r="D11" s="97" t="n"/>
      <c r="E11" s="97" t="n"/>
      <c r="F11" s="98" t="n"/>
      <c r="H11" s="60" t="inlineStr">
        <is>
          <t>B</t>
        </is>
      </c>
      <c r="I11" s="61" t="inlineStr">
        <is>
          <t>部分匹配：有时间再针对性补充</t>
        </is>
      </c>
      <c r="J11" s="97" t="n"/>
      <c r="K11" s="97" t="n"/>
      <c r="L11" s="98" t="n"/>
    </row>
    <row r="12">
      <c r="A12" s="60" t="inlineStr">
        <is>
          <t>4</t>
        </is>
      </c>
      <c r="B12" s="61" t="inlineStr">
        <is>
          <t>按Agent/工业AI/专业保底方向准备针对性简历</t>
        </is>
      </c>
      <c r="C12" s="97" t="n"/>
      <c r="D12" s="97" t="n"/>
      <c r="E12" s="97" t="n"/>
      <c r="F12" s="98" t="n"/>
      <c r="H12" s="60" t="inlineStr">
        <is>
          <t>C</t>
        </is>
      </c>
      <c r="I12" s="61" t="inlineStr">
        <is>
          <t>低匹配或明显高风险：暂缓</t>
        </is>
      </c>
      <c r="J12" s="97" t="n"/>
      <c r="K12" s="97" t="n"/>
      <c r="L12" s="98" t="n"/>
    </row>
    <row r="13">
      <c r="A13" s="60" t="inlineStr">
        <is>
          <t>5</t>
        </is>
      </c>
      <c r="B13" s="61" t="inlineStr">
        <is>
          <t>完成投递后立刻填写下一步行动和跟进日期</t>
        </is>
      </c>
      <c r="C13" s="97" t="n"/>
      <c r="D13" s="97" t="n"/>
      <c r="E13" s="97" t="n"/>
      <c r="F13" s="98" t="n"/>
      <c r="H13" s="60" t="inlineStr">
        <is>
          <t>规则</t>
        </is>
      </c>
      <c r="I13" s="61" t="inlineStr">
        <is>
          <t>优先看匹配度、截止日、地点和风险，不只看公司名气</t>
        </is>
      </c>
      <c r="J13" s="97" t="n"/>
      <c r="K13" s="97" t="n"/>
      <c r="L13" s="98" t="n"/>
    </row>
    <row r="15" ht="34" customHeight="1" s="81">
      <c r="A15" s="64" t="inlineStr">
        <is>
          <t>填写顺序：企业信息库 → 岗位与投递 → 面试复盘 → Offer比较；每条企业和岗位信息务必保留来源链接与最后核验日期。</t>
        </is>
      </c>
    </row>
  </sheetData>
  <mergeCells count="27">
    <mergeCell ref="A5:B6"/>
    <mergeCell ref="G5:H6"/>
    <mergeCell ref="I5:J6"/>
    <mergeCell ref="I10:L10"/>
    <mergeCell ref="C4:D4"/>
    <mergeCell ref="I13:L13"/>
    <mergeCell ref="A2:L2"/>
    <mergeCell ref="E4:F4"/>
    <mergeCell ref="B12:F12"/>
    <mergeCell ref="I9:L9"/>
    <mergeCell ref="B11:F11"/>
    <mergeCell ref="A8:F8"/>
    <mergeCell ref="I11:L11"/>
    <mergeCell ref="B13:F13"/>
    <mergeCell ref="B10:F10"/>
    <mergeCell ref="C5:D6"/>
    <mergeCell ref="E5:F6"/>
    <mergeCell ref="K5:L6"/>
    <mergeCell ref="B9:F9"/>
    <mergeCell ref="A4:B4"/>
    <mergeCell ref="G4:H4"/>
    <mergeCell ref="I4:J4"/>
    <mergeCell ref="A15:L15"/>
    <mergeCell ref="A1:L1"/>
    <mergeCell ref="I12:L12"/>
    <mergeCell ref="K4:L4"/>
    <mergeCell ref="H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2026-09-04T10:01:57Z</dcterms:created>
  <dcterms:modified xmlns:dcterms="http://purl.org/dc/terms/" xmlns:xsi="http://www.w3.org/2001/XMLSchema-instance" xsi:type="dcterms:W3CDTF">2026-09-07T12:04:37Z</dcterms:modified>
</cp:coreProperties>
</file>